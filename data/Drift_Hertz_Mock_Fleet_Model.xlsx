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se_Facts" sheetId="2" state="visible" r:id="rId4"/>
    <sheet name="Inputs" sheetId="3" state="visible" r:id="rId5"/>
    <sheet name="Fleet_Model" sheetId="4" state="visible" r:id="rId6"/>
    <sheet name="Market_Data" sheetId="5" state="visible" r:id="rId7"/>
    <sheet name="Driver_Map" sheetId="6" state="visible" r:id="rId8"/>
    <sheet name="Impact_Engine" sheetId="7" state="visible" r:id="rId9"/>
    <sheet name="Hertz_Reconcili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<sst xmlns="http://schemas.openxmlformats.org/spreadsheetml/2006/main" count="529" uniqueCount="352">
  <si>
    <t xml:space="preserve">Drift mock dataset: Meridian Rent-A-Car fleet model (Hertz-calibrated)</t>
  </si>
  <si>
    <t xml:space="preserve">What this is</t>
  </si>
  <si>
    <t xml:space="preserve">A synthetic FP&amp;A workbook for testing Drift. The company is fictional ('Meridian Rent-A-Car'). Its scale and the size of its stale assumptions are calibrated to Hertz's public EV fleet write-down (8-K filed 2024-01-11; Q4 2023 results 2024-02-06).</t>
  </si>
  <si>
    <t xml:space="preserve">The story</t>
  </si>
  <si>
    <t xml:space="preserve">Model built 2022-12-15 as the FY2023 budget. Rolled forward unchanged to FY2024E and reused 2023-12-04 for a lender update. Between those dates Tesla cut new-car prices repeatedly, used EV values fell, fleet debt got more expensive and EV collision costs stayed high.</t>
  </si>
  <si>
    <t xml:space="preserve">Test flow</t>
  </si>
  <si>
    <t xml:space="preserve">1) Feed Inputs + Fleet_Model to Drift. 2) Check it finds every hardcode (Inputs sheet AND the buried constants listed in Driver_Map). 3) Check its driver labels against Driver_Map col B. 4) Check fetched values against Driver_Map col I. 5) Check the impact ranking against Driver_Map col N.</t>
  </si>
  <si>
    <t xml:space="preserve">Sheets</t>
  </si>
  <si>
    <t xml:space="preserve">Case_Facts: dated, sourced real-world timeline. Inputs: explicit assumptions. Fleet_Model: the model (formulas; three constants are buried inside formulas on purpose). Market_Data: monthly drivers + source anchors. Driver_Map: GROUND TRUTH answer key (label, source, should-it-drift, stale flag, $ impact). Impact_Engine: re-runs the model one driver at a time. Hertz_Reconciliation: reproduces Hertz's $245M from its own disclosed numbers.</t>
  </si>
  <si>
    <t xml:space="preserve">Colour code</t>
  </si>
  <si>
    <t xml:space="preserve">Blue = hardcoded input. Black = formula. Green = link to another sheet. Yellow fill = key assumption that drifts.</t>
  </si>
  <si>
    <t xml:space="preserve">IMPORTANT: data provenance</t>
  </si>
  <si>
    <t xml:space="preserve">Market_Data monthly series (EV index, ICE index, SOFR) are SYNTHETIC illustrative paths. Only the Anchors table and Case_Facts hold figures taken from public sources, and each is marked Verified or Mock. Replace the synthetic series with live fetched data when Drift is wired to Bright Data.</t>
  </si>
  <si>
    <t xml:space="preserve">Deliberate traps</t>
  </si>
  <si>
    <t xml:space="preserve">(a) Fleet_Model B11 contains a buried 1.2 (EV collision cost uplift) that DOES drift. (b) Fleet_Model B13/C13 contain a buried 0.015 (remarketing fee) that has NOT drifted: a fresh control. (c) 365, 12 and 1,000,000 are unit constants, not assumptions. (d) EV and ICE acquisition cost are historical facts and should never be 'updated'. (e) Revenue per day is a management lever: label it, do not auto-update it.</t>
  </si>
  <si>
    <t xml:space="preserve">Units</t>
  </si>
  <si>
    <t xml:space="preserve">$M unless stated. Annual FY2024E view. Fleet = 550,000 vehicles (60,000 EV = about one third of Hertz's disclosed EV fleet after the 20,000 sale decision).</t>
  </si>
  <si>
    <t xml:space="preserve">Hertz EV case: dated facts (paraphrased from sources)</t>
  </si>
  <si>
    <t xml:space="preserve">Date</t>
  </si>
  <si>
    <t xml:space="preserve">Fact</t>
  </si>
  <si>
    <t xml:space="preserve">Why it matters for Drift</t>
  </si>
  <si>
    <t xml:space="preserve">Source</t>
  </si>
  <si>
    <t xml:space="preserve">2021-10</t>
  </si>
  <si>
    <t xml:space="preserve">Hertz announces an order of up to 100,000 Teslas, reported at about $4.2B (about $42,000 per car).</t>
  </si>
  <si>
    <t xml:space="preserve">Sets the historical cost basis. This is a fact, not an assumption, so Drift must NOT try to update it.</t>
  </si>
  <si>
    <t xml:space="preserve">Fortune, 2024-06-07: https://fortune.com/2024/06/07/buy-used-tesla-hertz-fire-sale</t>
  </si>
  <si>
    <t xml:space="preserve">2022</t>
  </si>
  <si>
    <t xml:space="preserve">Hertz announces plans to buy 165,000 EVs from Tesla and Polestar.</t>
  </si>
  <si>
    <t xml:space="preserve">Fleet plan was sized on EV demand and residual assumptions of the time.</t>
  </si>
  <si>
    <t xml:space="preserve">Axios, 2024-01-11: https://www.axios.com/2024/01/11/hertz-evs-electric-vehicles-20000</t>
  </si>
  <si>
    <t xml:space="preserve">2023</t>
  </si>
  <si>
    <t xml:space="preserve">Tesla cuts new-car prices repeatedly; by 2023-04-06 Reuters counts a fifth cut of the year. Cox says used EV prices follow the market leader's new prices down.</t>
  </si>
  <si>
    <t xml:space="preserve">The upstream event that made residual-value constants stale.</t>
  </si>
  <si>
    <t xml:space="preserve">Reuters via FXEmpire: https://fxempire.com/news/article/used-u-s-electric-vehicle-sales-jump-as-prices-fall-group-1332056</t>
  </si>
  <si>
    <t xml:space="preserve">2023-01 to 2023-06</t>
  </si>
  <si>
    <t xml:space="preserve">iSeeCars: used EV price decline vs a year earlier accelerated from 8.8% (Jan) to 16.8% (Mar) to 29.5% (Jun).</t>
  </si>
  <si>
    <t xml:space="preserve">Public monthly series Drift could fetch to test a residual-value constant.</t>
  </si>
  <si>
    <t xml:space="preserve">Autoblog/Yahoo Finance: https://www.autoblog.com/2023/07/16/used-ev-prices-are-collapsing-and-tesla-is-why/</t>
  </si>
  <si>
    <t xml:space="preserve">CCC report: collision repair on EVs cost about 56% more than on gas cars (2022 data) with about 25% longer repair waits.</t>
  </si>
  <si>
    <t xml:space="preserve">Public source for the EV collision-cost uplift constant.</t>
  </si>
  <si>
    <t xml:space="preserve">Axios: https://www.axios.com/2024/01/11/hertz-evs-electric-vehicles-20000</t>
  </si>
  <si>
    <t xml:space="preserve">2024-01-11</t>
  </si>
  <si>
    <t xml:space="preserve">Hertz 8-K: sell about 20,000 EVs (about one third of the global EV fleet); about $245M incremental net depreciation in Q4 2023.</t>
  </si>
  <si>
    <t xml:space="preserve">The headline loss. A one-cell residual assumption sits behind it.</t>
  </si>
  <si>
    <t xml:space="preserve">SEC 8-K: https://www.sec.gov/Archives/edgar/data/1657853/000165785324000010/htz-20240111.htm</t>
  </si>
  <si>
    <t xml:space="preserve">2024-02-06</t>
  </si>
  <si>
    <t xml:space="preserve">Q4 2023: depreciation per unit per month $498 vs $242 a year earlier; fleet interest $91 vs $55 per unit per month; Q4 Adjusted Corporate EBITDA negative $382M including the $245M; full year $561M including the $245M.</t>
  </si>
  <si>
    <t xml:space="preserve">Shows TWO more drifted inputs (depreciation and interest cost), not just EVs.</t>
  </si>
  <si>
    <t xml:space="preserve">Hertz release: https://www.sec.gov/Archives/edgar/data/1657853/000165785324000019/q42023earningsrelease.htm</t>
  </si>
  <si>
    <t xml:space="preserve">Earnings deck: net book value of the 20,000 EVs $787M.</t>
  </si>
  <si>
    <t xml:space="preserve">Lets us back out the implied market value per car (see Hertz_Reconciliation).</t>
  </si>
  <si>
    <t xml:space="preserve">Q4 2023 deck: https://static.seekingalpha.com/uploads/sa_presentations/924/98924/original.pdf</t>
  </si>
  <si>
    <t xml:space="preserve">2024-Q1</t>
  </si>
  <si>
    <t xml:space="preserve">Hertz raises the 2024 EV disposal plan by 10,000 to 30,000 vehicles; $195M further charge in Q1 2024.</t>
  </si>
  <si>
    <t xml:space="preserve">The stale input kept costing money for another quarter.</t>
  </si>
  <si>
    <t xml:space="preserve">Q1 2024 release: https://www.sec.gov/Archives/edgar/data/1657853/000165785324000060/q12024earningsrelease.htm</t>
  </si>
  <si>
    <t xml:space="preserve">FY2024 10-K</t>
  </si>
  <si>
    <t xml:space="preserve">Stated reasons: EV supply exceeded demand, elevated EV damage and collision costs, and declining EV residual values. Carrying value of the first disposal group $542M.</t>
  </si>
  <si>
    <t xml:space="preserve">Confirms the three drivers modelled in this workbook.</t>
  </si>
  <si>
    <t xml:space="preserve">SEC 10-K / ARS: https://www.sec.gov/Archives/edgar/data/1657853/000110465925033065/tm254478d2_ars.pdf</t>
  </si>
  <si>
    <t xml:space="preserve">2024-06</t>
  </si>
  <si>
    <t xml:space="preserve">Hertz Car Sales lists mostly 2022-23 Teslas at about $21,000 to $36,000.</t>
  </si>
  <si>
    <t xml:space="preserve">Retail evidence that the market value was far below the $42,000 cost.</t>
  </si>
  <si>
    <t xml:space="preserve">Fortune: https://fortune.com/2024/06/07/buy-used-tesla-hertz-fire-sale</t>
  </si>
  <si>
    <t xml:space="preserve">Inputs (as built 2022-12-15)</t>
  </si>
  <si>
    <t xml:space="preserve">Blue = hardcoded. Yellow = drifting external assumptions. Mock company; values calibrated to public Hertz figures where noted.</t>
  </si>
  <si>
    <t xml:space="preserve">Assumption</t>
  </si>
  <si>
    <t xml:space="preserve">Value</t>
  </si>
  <si>
    <t xml:space="preserve">Unit</t>
  </si>
  <si>
    <t xml:space="preserve">Note</t>
  </si>
  <si>
    <t xml:space="preserve">EV average fleet</t>
  </si>
  <si>
    <t xml:space="preserve">vehicles</t>
  </si>
  <si>
    <t xml:space="preserve">Internal plan. About one third of Hertz's disclosed EV fleet implies roughly 60,000.</t>
  </si>
  <si>
    <t xml:space="preserve">ICE average fleet</t>
  </si>
  <si>
    <t xml:space="preserve">Internal plan. Total fleet 550,000 (derived from Hertz Q4'23 figures, see Hertz_Reconciliation).</t>
  </si>
  <si>
    <t xml:space="preserve">Utilization (days rented / days available)</t>
  </si>
  <si>
    <t xml:space="preserve">%</t>
  </si>
  <si>
    <t xml:space="preserve">Internal. Hertz Q4'23 revenue per unit per month $1,381 / RPD $58.09 is about 24 days of 30, i.e. about 78%.</t>
  </si>
  <si>
    <t xml:space="preserve">Revenue per day (RPD)</t>
  </si>
  <si>
    <t xml:space="preserve">$ / day</t>
  </si>
  <si>
    <t xml:space="preserve">Management pricing lever. Hertz reported $58.09 in Q4 2023.</t>
  </si>
  <si>
    <t xml:space="preserve">EV acquisition cost</t>
  </si>
  <si>
    <t xml:space="preserve">$ / car</t>
  </si>
  <si>
    <t xml:space="preserve">Historical fact: $4.2B / 100,000 Teslas.</t>
  </si>
  <si>
    <t xml:space="preserve">ICE acquisition cost</t>
  </si>
  <si>
    <t xml:space="preserve">Historical fact (mock).</t>
  </si>
  <si>
    <t xml:space="preserve">EV residual value at disposal</t>
  </si>
  <si>
    <t xml:space="preserve">% of cost</t>
  </si>
  <si>
    <t xml:space="preserve">KEY ASSUMPTION. Set when Model 3s were reported to hold about 90% of value at three years (Electrek).</t>
  </si>
  <si>
    <t xml:space="preserve">ICE residual value at disposal</t>
  </si>
  <si>
    <t xml:space="preserve">KEY ASSUMPTION. Gives about $248/unit/month, near Hertz's Q4'22 $242.</t>
  </si>
  <si>
    <t xml:space="preserve">EV holding period</t>
  </si>
  <si>
    <t xml:space="preserve">months</t>
  </si>
  <si>
    <t xml:space="preserve">Policy.</t>
  </si>
  <si>
    <t xml:space="preserve">ICE holding period</t>
  </si>
  <si>
    <t xml:space="preserve">Average vehicle debt per car</t>
  </si>
  <si>
    <t xml:space="preserve">Internal. Roughly $55/unit/month of interest at 3.4%.</t>
  </si>
  <si>
    <t xml:space="preserve">Blended fleet debt cost</t>
  </si>
  <si>
    <t xml:space="preserve">% p.a.</t>
  </si>
  <si>
    <t xml:space="preserve">KEY ASSUMPTION. Partly hedged ABS debt. Hertz reported $55/unit/month in Q4'22.</t>
  </si>
  <si>
    <t xml:space="preserve">ICE collision and damage cost per rental day</t>
  </si>
  <si>
    <t xml:space="preserve">Internal (mock).</t>
  </si>
  <si>
    <t xml:space="preserve">Other direct operating expense per rental day</t>
  </si>
  <si>
    <t xml:space="preserve">Internal (mock): maintenance, energy, facilities, labour.</t>
  </si>
  <si>
    <t xml:space="preserve">SG&amp;A</t>
  </si>
  <si>
    <t xml:space="preserve">$M p.a.</t>
  </si>
  <si>
    <t xml:space="preserve">Fleet economics, FY2024E (rolled forward from FY2023 budget)</t>
  </si>
  <si>
    <t xml:space="preserve">Three constants are buried in formulas on purpose: B11 (x1.2), B13 and C13 (x0.015), plus unit constants 365, 12, 1,000,000.</t>
  </si>
  <si>
    <t xml:space="preserve">Line item</t>
  </si>
  <si>
    <t xml:space="preserve">EV</t>
  </si>
  <si>
    <t xml:space="preserve">ICE</t>
  </si>
  <si>
    <t xml:space="preserve">Total</t>
  </si>
  <si>
    <t xml:space="preserve">Average fleet (vehicles)</t>
  </si>
  <si>
    <t xml:space="preserve">Rental days</t>
  </si>
  <si>
    <t xml:space="preserve">Revenue ($M)</t>
  </si>
  <si>
    <t xml:space="preserve">Depreciation per unit per month ($)</t>
  </si>
  <si>
    <t xml:space="preserve">Vehicle depreciation ($M)</t>
  </si>
  <si>
    <t xml:space="preserve">Fleet interest ($M)</t>
  </si>
  <si>
    <t xml:space="preserve">Collision and damage ($M)</t>
  </si>
  <si>
    <t xml:space="preserve">Other direct operating expense ($M)</t>
  </si>
  <si>
    <t xml:space="preserve">Remarketing and disposal cost ($M)</t>
  </si>
  <si>
    <t xml:space="preserve">Segment contribution ($M)</t>
  </si>
  <si>
    <t xml:space="preserve">SG&amp;A ($M)</t>
  </si>
  <si>
    <t xml:space="preserve">Adjusted Corporate EBITDA ($M)</t>
  </si>
  <si>
    <t xml:space="preserve">EBITDA margin</t>
  </si>
  <si>
    <t xml:space="preserve">Market data (what Drift would fetch)</t>
  </si>
  <si>
    <t xml:space="preserve">Monthly series below are SYNTHETIC illustrative paths (direction and end-point calibrated to public reports). Anchors table is sourced; see Status column.</t>
  </si>
  <si>
    <t xml:space="preserve">Month-end</t>
  </si>
  <si>
    <t xml:space="preserve">Used EV value index (Dec 2022 = 100)</t>
  </si>
  <si>
    <t xml:space="preserve">Used ICE value index (Dec 2022 = 100)</t>
  </si>
  <si>
    <t xml:space="preserve">1M Term SOFR (%) approx</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</si>
  <si>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</si>
  <si>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</si>
  <si>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</si>
  <si>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</si>
  <si>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</si>
  <si>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</si>
  <si>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</si>
  <si>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</si>
  <si>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</si>
  <si>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</si>
  <si>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</si>
  <si>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</si>
  <si>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</si>
  <si>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Anchors (public figures used to calibrate the mock)</t>
  </si>
  <si>
    <t xml:space="preserve">Metric</t>
  </si>
  <si>
    <t xml:space="preserve">Period</t>
  </si>
  <si>
    <t xml:space="preserve">Status</t>
  </si>
  <si>
    <t xml:space="preserve">Fleet interest per unit per month, Q4 2022</t>
  </si>
  <si>
    <t xml:space="preserve">$</t>
  </si>
  <si>
    <t xml:space="preserve">Q4 2022</t>
  </si>
  <si>
    <t xml:space="preserve">Hertz Q4 2023 release (sec.gov 000165785324000019)</t>
  </si>
  <si>
    <t xml:space="preserve">Verified in source</t>
  </si>
  <si>
    <t xml:space="preserve">Fleet interest per unit per month, Q4 2023</t>
  </si>
  <si>
    <t xml:space="preserve">Q4 2023</t>
  </si>
  <si>
    <t xml:space="preserve">Depreciation per unit per month, Q4 2022</t>
  </si>
  <si>
    <t xml:space="preserve">Hertz Q4 2023 release</t>
  </si>
  <si>
    <t xml:space="preserve">Depreciation per unit per month, Q4 2023</t>
  </si>
  <si>
    <t xml:space="preserve">Depreciation per unit per month, Q4 2023, excl. EV sale charge</t>
  </si>
  <si>
    <t xml:space="preserve">Hertz Q4 2023 earnings deck (label read from extract; confirm)</t>
  </si>
  <si>
    <t xml:space="preserve">Verify label</t>
  </si>
  <si>
    <t xml:space="preserve">Revenue per day, Q4 2023</t>
  </si>
  <si>
    <t xml:space="preserve">EV vs gas collision repair cost ratio</t>
  </si>
  <si>
    <t xml:space="preserve">x</t>
  </si>
  <si>
    <t xml:space="preserve">2022 data</t>
  </si>
  <si>
    <t xml:space="preserve">CCC report, cited by Axios 2024-01-11</t>
  </si>
  <si>
    <t xml:space="preserve">Verified (secondary)</t>
  </si>
  <si>
    <t xml:space="preserve">Remarketing fee, % of proceeds</t>
  </si>
  <si>
    <t xml:space="preserve">Mock assumption, held unchanged as a freshness control</t>
  </si>
  <si>
    <t xml:space="preserve">Mock</t>
  </si>
  <si>
    <t xml:space="preserve">Used EV price change vs prior year, June 2023</t>
  </si>
  <si>
    <t xml:space="preserve">iSeeCars via Autoblog</t>
  </si>
  <si>
    <t xml:space="preserve">Average used EV retail listing price, Q1 2023</t>
  </si>
  <si>
    <t xml:space="preserve">Q1 2023</t>
  </si>
  <si>
    <t xml:space="preserve">Cox Automotive via Reuters</t>
  </si>
  <si>
    <t xml:space="preserve">Hertz Tesla order, vehicles</t>
  </si>
  <si>
    <t xml:space="preserve">cars</t>
  </si>
  <si>
    <t xml:space="preserve">Fortune / Electrek</t>
  </si>
  <si>
    <t xml:space="preserve">Hertz Tesla order, value ($M)</t>
  </si>
  <si>
    <t xml:space="preserve">$M</t>
  </si>
  <si>
    <t xml:space="preserve">Driver map: GROUND TRUTH answer key for Drift</t>
  </si>
  <si>
    <t xml:space="preserve">Col B = the label Drift should propose. Col I = the value it should fetch. Col M = expected verdict. Col N = expected EBITDA impact ($M, one driver at a time).</t>
  </si>
  <si>
    <t xml:space="preserve">ID</t>
  </si>
  <si>
    <t xml:space="preserve">Real-world driver (semantic label)</t>
  </si>
  <si>
    <t xml:space="preserve">Where it lives</t>
  </si>
  <si>
    <t xml:space="preserve">As-built value</t>
  </si>
  <si>
    <t xml:space="preserve">Drift-eligible?</t>
  </si>
  <si>
    <t xml:space="preserve">Why</t>
  </si>
  <si>
    <t xml:space="preserve">Public source to fetch from</t>
  </si>
  <si>
    <t xml:space="preserve">Current value</t>
  </si>
  <si>
    <t xml:space="preserve">Current as of</t>
  </si>
  <si>
    <t xml:space="preserve">% change</t>
  </si>
  <si>
    <t xml:space="preserve">Stale threshold</t>
  </si>
  <si>
    <t xml:space="preserve">Verdict</t>
  </si>
  <si>
    <t xml:space="preserve">EBITDA impact ($M)</t>
  </si>
  <si>
    <t xml:space="preserve">D1</t>
  </si>
  <si>
    <t xml:space="preserve">Residual value of a 2-3 year old EV at disposal (as % of cost)</t>
  </si>
  <si>
    <t xml:space="preserve">Inputs!B11</t>
  </si>
  <si>
    <t xml:space="preserve">Y</t>
  </si>
  <si>
    <t xml:space="preserve">External market price; moved with Tesla price cuts.</t>
  </si>
  <si>
    <t xml:space="preserve">Manheim / Cox Automotive used EV values; iSeeCars used EV price studies</t>
  </si>
  <si>
    <t xml:space="preserve">D2</t>
  </si>
  <si>
    <t xml:space="preserve">Residual value of a 2 year old gas car at disposal (as % of cost)</t>
  </si>
  <si>
    <t xml:space="preserve">Inputs!B12</t>
  </si>
  <si>
    <t xml:space="preserve">External market price.</t>
  </si>
  <si>
    <t xml:space="preserve">Manheim Used Vehicle Value Index</t>
  </si>
  <si>
    <t xml:space="preserve">D3</t>
  </si>
  <si>
    <t xml:space="preserve">Blended cost of fleet debt (floating-rate ABS, partly hedged)</t>
  </si>
  <si>
    <t xml:space="preserve">Inputs!B16</t>
  </si>
  <si>
    <t xml:space="preserve">Tracks benchmark rates and ABS spreads.</t>
  </si>
  <si>
    <t xml:space="preserve">1M Term SOFR (FRED) plus peer-reported fleet interest per unit</t>
  </si>
  <si>
    <t xml:space="preserve">2023-Q4</t>
  </si>
  <si>
    <t xml:space="preserve">D4</t>
  </si>
  <si>
    <t xml:space="preserve">EV collision repair cost relative to a gas car</t>
  </si>
  <si>
    <t xml:space="preserve">Fleet_Model!B11 (buried constant 1.2)</t>
  </si>
  <si>
    <t xml:space="preserve">Buried number inside a formula. Drifts with repair-cost data.</t>
  </si>
  <si>
    <t xml:space="preserve">CCC Intelligent Solutions crash-course / repair cost reports</t>
  </si>
  <si>
    <t xml:space="preserve">D5</t>
  </si>
  <si>
    <t xml:space="preserve">Remarketing / auction fee as % of sale proceeds</t>
  </si>
  <si>
    <t xml:space="preserve">Fleet_Model!B13, C13 (buried constant 0.015)</t>
  </si>
  <si>
    <t xml:space="preserve">FRESH CONTROL: eligible, but has not moved. Drift should say 'fresh'.</t>
  </si>
  <si>
    <t xml:space="preserve">Auction house fee schedules (Manheim, ADESA)</t>
  </si>
  <si>
    <t xml:space="preserve">D6</t>
  </si>
  <si>
    <t xml:space="preserve">Rental revenue per day</t>
  </si>
  <si>
    <t xml:space="preserve">Inputs!B8</t>
  </si>
  <si>
    <t xml:space="preserve">N</t>
  </si>
  <si>
    <t xml:space="preserve">Management pricing lever. Label it, show the reference value, do not auto-update.</t>
  </si>
  <si>
    <t xml:space="preserve">Reference only: peer-reported RPD</t>
  </si>
  <si>
    <t xml:space="preserve">Label only</t>
  </si>
  <si>
    <t xml:space="preserve">D7</t>
  </si>
  <si>
    <t xml:space="preserve">EV acquisition cost per car</t>
  </si>
  <si>
    <t xml:space="preserve">Inputs!B9</t>
  </si>
  <si>
    <t xml:space="preserve">Historical fact. Updating it would be an error.</t>
  </si>
  <si>
    <t xml:space="preserve">n/a</t>
  </si>
  <si>
    <t xml:space="preserve">Not a market driver</t>
  </si>
  <si>
    <t xml:space="preserve">D8</t>
  </si>
  <si>
    <t xml:space="preserve">ICE acquisition cost per car</t>
  </si>
  <si>
    <t xml:space="preserve">Inputs!B10</t>
  </si>
  <si>
    <t xml:space="preserve">Historical fact.</t>
  </si>
  <si>
    <t xml:space="preserve">D9</t>
  </si>
  <si>
    <t xml:space="preserve">Inputs!B13</t>
  </si>
  <si>
    <t xml:space="preserve">Company policy.</t>
  </si>
  <si>
    <t xml:space="preserve">D10</t>
  </si>
  <si>
    <t xml:space="preserve">Inputs!B14</t>
  </si>
  <si>
    <t xml:space="preserve">D11</t>
  </si>
  <si>
    <t xml:space="preserve">Fleet utilization</t>
  </si>
  <si>
    <t xml:space="preserve">Inputs!B7</t>
  </si>
  <si>
    <t xml:space="preserve">Internal operating metric.</t>
  </si>
  <si>
    <t xml:space="preserve">D12</t>
  </si>
  <si>
    <t xml:space="preserve">EV fleet size</t>
  </si>
  <si>
    <t xml:space="preserve">Inputs!B5</t>
  </si>
  <si>
    <t xml:space="preserve">Internal plan.</t>
  </si>
  <si>
    <t xml:space="preserve">D13</t>
  </si>
  <si>
    <t xml:space="preserve">ICE fleet size</t>
  </si>
  <si>
    <t xml:space="preserve">Inputs!B6</t>
  </si>
  <si>
    <t xml:space="preserve">D14</t>
  </si>
  <si>
    <t xml:space="preserve">Average debt per car</t>
  </si>
  <si>
    <t xml:space="preserve">Inputs!B15</t>
  </si>
  <si>
    <t xml:space="preserve">Internal balance-sheet figure.</t>
  </si>
  <si>
    <t xml:space="preserve">D15</t>
  </si>
  <si>
    <t xml:space="preserve">ICE collision cost per day</t>
  </si>
  <si>
    <t xml:space="preserve">Inputs!B17</t>
  </si>
  <si>
    <t xml:space="preserve">Internal cost.</t>
  </si>
  <si>
    <t xml:space="preserve">D16</t>
  </si>
  <si>
    <t xml:space="preserve">Other direct operating cost per day</t>
  </si>
  <si>
    <t xml:space="preserve">Inputs!B18</t>
  </si>
  <si>
    <t xml:space="preserve">D17</t>
  </si>
  <si>
    <t xml:space="preserve">Inputs!B19</t>
  </si>
  <si>
    <t xml:space="preserve">Internal budget.</t>
  </si>
  <si>
    <t xml:space="preserve">D18</t>
  </si>
  <si>
    <t xml:space="preserve">Days per year (365)</t>
  </si>
  <si>
    <t xml:space="preserve">Fleet_Model!B6, C6 (buried)</t>
  </si>
  <si>
    <t xml:space="preserve">days</t>
  </si>
  <si>
    <t xml:space="preserve">Unit constant, not an assumption.</t>
  </si>
  <si>
    <t xml:space="preserve">D19</t>
  </si>
  <si>
    <t xml:space="preserve">Months per year (12)</t>
  </si>
  <si>
    <t xml:space="preserve">Fleet_Model rows 9, 13 (buried)</t>
  </si>
  <si>
    <t xml:space="preserve">Unit constant.</t>
  </si>
  <si>
    <t xml:space="preserve">D20</t>
  </si>
  <si>
    <t xml:space="preserve">Dollars to $M scaling (1,000,000)</t>
  </si>
  <si>
    <t xml:space="preserve">Fleet_Model rows 7-13 (buried)</t>
  </si>
  <si>
    <t xml:space="preserve">scalar</t>
  </si>
  <si>
    <t xml:space="preserve">Summary</t>
  </si>
  <si>
    <t xml:space="preserve">EBITDA as built ($M)</t>
  </si>
  <si>
    <t xml:space="preserve">EBITDA with all stale external drivers refreshed ($M)</t>
  </si>
  <si>
    <t xml:space="preserve">Total change ($M)</t>
  </si>
  <si>
    <t xml:space="preserve">Change as % of as-built EBITDA</t>
  </si>
  <si>
    <t xml:space="preserve">Materiality: % of as-built EBITDA</t>
  </si>
  <si>
    <t xml:space="preserve">Materiality threshold ($M)</t>
  </si>
  <si>
    <t xml:space="preserve">Verdict rule: STALE if the input moved more than its threshold (col L) OR moving it changes EBITDA by more than the materiality threshold. D2 shows why: only 2.4% drift, but about $157M of EBITDA.</t>
  </si>
  <si>
    <t xml:space="preserve">Impact engine: re-runs the model with one driver refreshed at a time</t>
  </si>
  <si>
    <t xml:space="preserve">Same logic as Fleet_Model. Column C must equal Fleet_Model EBITDA (check in C37).</t>
  </si>
  <si>
    <t xml:space="preserve">Line</t>
  </si>
  <si>
    <t xml:space="preserve">As built</t>
  </si>
  <si>
    <t xml:space="preserve">EV residual</t>
  </si>
  <si>
    <t xml:space="preserve">ICE residual</t>
  </si>
  <si>
    <t xml:space="preserve">Fleet debt cost</t>
  </si>
  <si>
    <t xml:space="preserve">EV collision uplift</t>
  </si>
  <si>
    <t xml:space="preserve">Remarketing fee (control)</t>
  </si>
  <si>
    <t xml:space="preserve">ALL external refreshed</t>
  </si>
  <si>
    <t xml:space="preserve">RPD (mgmt lever, ref only)</t>
  </si>
  <si>
    <t xml:space="preserve">Inputs by scenario</t>
  </si>
  <si>
    <t xml:space="preserve">EV fleet</t>
  </si>
  <si>
    <t xml:space="preserve">ICE fleet</t>
  </si>
  <si>
    <t xml:space="preserve">Utilization</t>
  </si>
  <si>
    <t xml:space="preserve">Revenue per day</t>
  </si>
  <si>
    <t xml:space="preserve">Debt per car</t>
  </si>
  <si>
    <t xml:space="preserve">Other DOE per day</t>
  </si>
  <si>
    <t xml:space="preserve">Remarketing fee</t>
  </si>
  <si>
    <t xml:space="preserve">Calculation</t>
  </si>
  <si>
    <t xml:space="preserve">EV rental days</t>
  </si>
  <si>
    <t xml:space="preserve">ICE rental days</t>
  </si>
  <si>
    <t xml:space="preserve">Revenue</t>
  </si>
  <si>
    <t xml:space="preserve">EV depreciation</t>
  </si>
  <si>
    <t xml:space="preserve">ICE depreciation</t>
  </si>
  <si>
    <t xml:space="preserve">Fleet interest</t>
  </si>
  <si>
    <t xml:space="preserve">Collision and damage</t>
  </si>
  <si>
    <t xml:space="preserve">Other DOE</t>
  </si>
  <si>
    <t xml:space="preserve">Remarketing and disposal</t>
  </si>
  <si>
    <t xml:space="preserve">Adjusted Corporate EBITDA</t>
  </si>
  <si>
    <t xml:space="preserve">Change vs as built</t>
  </si>
  <si>
    <t xml:space="preserve">Check: engine as-built minus Fleet_Model EBITDA (should be 0)</t>
  </si>
  <si>
    <t xml:space="preserve">Check: sum of one-at-a-time impacts minus joint impact (should be 0)</t>
  </si>
  <si>
    <t xml:space="preserve">Reproducing Hertz's $245M from its own disclosures</t>
  </si>
  <si>
    <t xml:space="preserve">Demo punchline: public inputs + one market price reproduce the loss. Blue = disclosed figure.</t>
  </si>
  <si>
    <t xml:space="preserve">Item</t>
  </si>
  <si>
    <t xml:space="preserve">Note / source</t>
  </si>
  <si>
    <t xml:space="preserve">EVs held for sale</t>
  </si>
  <si>
    <t xml:space="preserve">Hertz 8-K 2024-01-11</t>
  </si>
  <si>
    <t xml:space="preserve">Net book value of those EVs</t>
  </si>
  <si>
    <t xml:space="preserve">Q4 2023 earnings deck</t>
  </si>
  <si>
    <t xml:space="preserve">Incremental net depreciation recognised Q4 2023</t>
  </si>
  <si>
    <t xml:space="preserve">Hertz 8-K and Q4 release</t>
  </si>
  <si>
    <t xml:space="preserve">Carrying value after write-down (first disposal group)</t>
  </si>
  <si>
    <t xml:space="preserve">FY2024 10-K note</t>
  </si>
  <si>
    <t xml:space="preserve">Original cost per EV</t>
  </si>
  <si>
    <t xml:space="preserve">$4.2B / 100,000</t>
  </si>
  <si>
    <t xml:space="preserve">Net book value per EV</t>
  </si>
  <si>
    <t xml:space="preserve">calc</t>
  </si>
  <si>
    <t xml:space="preserve">Implied fair value per EV (carrying value after write-down)</t>
  </si>
  <si>
    <t xml:space="preserve">Write-down per EV</t>
  </si>
  <si>
    <t xml:space="preserve">Implied fair value as % of original cost</t>
  </si>
  <si>
    <t xml:space="preserve">Compare with the 72% residual assumed at 36 months in the model</t>
  </si>
  <si>
    <t xml:space="preserve">Check: NBV less carrying value less reported charge (should be 0)</t>
  </si>
  <si>
    <t xml:space="preserve">Disclosures reconcile</t>
  </si>
  <si>
    <t xml:space="preserve">Q4 2023 depreciation per unit per month</t>
  </si>
  <si>
    <t xml:space="preserve">Hertz Q4 release</t>
  </si>
  <si>
    <t xml:space="preserve">Q4 2023 depreciation per unit per month excl. EV sale charge</t>
  </si>
  <si>
    <t xml:space="preserve">Earnings deck (confirm label)</t>
  </si>
  <si>
    <t xml:space="preserve">EV sale charge in DPU terms</t>
  </si>
  <si>
    <t xml:space="preserve">Implied average fleet (vehicles)</t>
  </si>
  <si>
    <t xml:space="preserve">Derived: $245M / ($148 x 3 months). Mock model uses 550,000.</t>
  </si>
</sst>
</file>

<file path=xl/styles.xml><?xml version="1.0" encoding="utf-8"?>
<styleSheet xmlns="http://schemas.openxmlformats.org/spreadsheetml/2006/main">
  <numFmts count="12">
    <numFmt numFmtId="164" formatCode="General"/>
    <numFmt numFmtId="165" formatCode="#,##0;\(#,##0\);\-"/>
    <numFmt numFmtId="166" formatCode="0.0%;\(0.0%\);\-"/>
    <numFmt numFmtId="167" formatCode="\$#,##0.00;&quot;($&quot;#,##0.00\);\-"/>
    <numFmt numFmtId="168" formatCode="\$#,##0;&quot;($&quot;#,##0\);\-"/>
    <numFmt numFmtId="169" formatCode="\$#,##0.0;&quot;($&quot;#,##0.0\);\-"/>
    <numFmt numFmtId="170" formatCode="0.0"/>
    <numFmt numFmtId="171" formatCode="0.00"/>
    <numFmt numFmtId="172" formatCode="0.00\x"/>
    <numFmt numFmtId="173" formatCode="0.0%"/>
    <numFmt numFmtId="174" formatCode="0%"/>
    <numFmt numFmtId="175" formatCode="0.00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i val="true"/>
      <sz val="9"/>
      <color rgb="FF555555"/>
      <name val="Arial"/>
      <family val="0"/>
      <charset val="1"/>
    </font>
    <font>
      <sz val="10"/>
      <color rgb="FF0000FF"/>
      <name val="Arial"/>
      <family val="0"/>
      <charset val="1"/>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72" fontId="10" fillId="3" borderId="0" xfId="0" applyFont="true" applyBorder="false" applyAlignment="false" applyProtection="false">
      <alignment horizontal="general" vertical="bottom" textRotation="0" wrapText="false" indent="0" shrinkToFit="false"/>
      <protection locked="true" hidden="false"/>
    </xf>
    <xf numFmtId="173" fontId="10" fillId="3"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3" customFormat="false" ht="61.5" hidden="false" customHeight="true" outlineLevel="0" collapsed="false">
      <c r="A3" s="2" t="s">
        <v>1</v>
      </c>
      <c r="B3" s="3" t="s">
        <v>2</v>
      </c>
    </row>
    <row r="4" customFormat="false" ht="61.5" hidden="false" customHeight="true" outlineLevel="0" collapsed="false">
      <c r="A4" s="2" t="s">
        <v>3</v>
      </c>
      <c r="B4" s="3" t="s">
        <v>4</v>
      </c>
    </row>
    <row r="5" customFormat="false" ht="61.5" hidden="false" customHeight="true" outlineLevel="0" collapsed="false">
      <c r="A5" s="2" t="s">
        <v>5</v>
      </c>
      <c r="B5" s="3" t="s">
        <v>6</v>
      </c>
    </row>
    <row r="6" customFormat="false" ht="61.5" hidden="false" customHeight="true" outlineLevel="0" collapsed="false">
      <c r="A6" s="2" t="s">
        <v>7</v>
      </c>
      <c r="B6" s="3" t="s">
        <v>8</v>
      </c>
    </row>
    <row r="7" customFormat="false" ht="61.5" hidden="false" customHeight="true" outlineLevel="0" collapsed="false">
      <c r="A7" s="2" t="s">
        <v>9</v>
      </c>
      <c r="B7" s="3" t="s">
        <v>10</v>
      </c>
    </row>
    <row r="8" customFormat="false" ht="61.5" hidden="false" customHeight="true" outlineLevel="0" collapsed="false">
      <c r="A8" s="2" t="s">
        <v>11</v>
      </c>
      <c r="B8" s="3" t="s">
        <v>12</v>
      </c>
    </row>
    <row r="9" customFormat="false" ht="61.5" hidden="false" customHeight="true" outlineLevel="0" collapsed="false">
      <c r="A9" s="2" t="s">
        <v>13</v>
      </c>
      <c r="B9" s="3" t="s">
        <v>14</v>
      </c>
    </row>
    <row r="10" customFormat="false" ht="61.5" hidden="false" customHeight="true" outlineLevel="0" collapsed="false">
      <c r="A10" s="2" t="s">
        <v>15</v>
      </c>
      <c r="B1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50"/>
    <col collapsed="false" customWidth="true" hidden="false" outlineLevel="0" max="4" min="4" style="0" width="70"/>
  </cols>
  <sheetData>
    <row r="1" customFormat="false" ht="17.35" hidden="false" customHeight="false" outlineLevel="0" collapsed="false">
      <c r="A1" s="1" t="s">
        <v>17</v>
      </c>
    </row>
    <row r="3" customFormat="false" ht="15" hidden="false" customHeight="false" outlineLevel="0" collapsed="false">
      <c r="A3" s="4" t="s">
        <v>18</v>
      </c>
      <c r="B3" s="4" t="s">
        <v>19</v>
      </c>
      <c r="C3" s="4" t="s">
        <v>20</v>
      </c>
      <c r="D3" s="4" t="s">
        <v>21</v>
      </c>
    </row>
    <row r="4" customFormat="false" ht="61.5" hidden="false" customHeight="true" outlineLevel="0" collapsed="false">
      <c r="A4" s="3" t="s">
        <v>22</v>
      </c>
      <c r="B4" s="3" t="s">
        <v>23</v>
      </c>
      <c r="C4" s="3" t="s">
        <v>24</v>
      </c>
      <c r="D4" s="3" t="s">
        <v>25</v>
      </c>
    </row>
    <row r="5" customFormat="false" ht="61.5" hidden="false" customHeight="true" outlineLevel="0" collapsed="false">
      <c r="A5" s="3" t="s">
        <v>26</v>
      </c>
      <c r="B5" s="3" t="s">
        <v>27</v>
      </c>
      <c r="C5" s="3" t="s">
        <v>28</v>
      </c>
      <c r="D5" s="3" t="s">
        <v>29</v>
      </c>
    </row>
    <row r="6" customFormat="false" ht="61.5" hidden="false" customHeight="true" outlineLevel="0" collapsed="false">
      <c r="A6" s="3" t="s">
        <v>30</v>
      </c>
      <c r="B6" s="3" t="s">
        <v>31</v>
      </c>
      <c r="C6" s="3" t="s">
        <v>32</v>
      </c>
      <c r="D6" s="3" t="s">
        <v>33</v>
      </c>
    </row>
    <row r="7" customFormat="false" ht="61.5" hidden="false" customHeight="true" outlineLevel="0" collapsed="false">
      <c r="A7" s="3" t="s">
        <v>34</v>
      </c>
      <c r="B7" s="3" t="s">
        <v>35</v>
      </c>
      <c r="C7" s="3" t="s">
        <v>36</v>
      </c>
      <c r="D7" s="3" t="s">
        <v>37</v>
      </c>
    </row>
    <row r="8" customFormat="false" ht="61.5" hidden="false" customHeight="true" outlineLevel="0" collapsed="false">
      <c r="A8" s="3" t="s">
        <v>30</v>
      </c>
      <c r="B8" s="3" t="s">
        <v>38</v>
      </c>
      <c r="C8" s="3" t="s">
        <v>39</v>
      </c>
      <c r="D8" s="3" t="s">
        <v>40</v>
      </c>
    </row>
    <row r="9" customFormat="false" ht="61.5" hidden="false" customHeight="true" outlineLevel="0" collapsed="false">
      <c r="A9" s="3" t="s">
        <v>41</v>
      </c>
      <c r="B9" s="3" t="s">
        <v>42</v>
      </c>
      <c r="C9" s="3" t="s">
        <v>43</v>
      </c>
      <c r="D9" s="3" t="s">
        <v>44</v>
      </c>
    </row>
    <row r="10" customFormat="false" ht="61.5" hidden="false" customHeight="true" outlineLevel="0" collapsed="false">
      <c r="A10" s="3" t="s">
        <v>45</v>
      </c>
      <c r="B10" s="3" t="s">
        <v>46</v>
      </c>
      <c r="C10" s="3" t="s">
        <v>47</v>
      </c>
      <c r="D10" s="3" t="s">
        <v>48</v>
      </c>
    </row>
    <row r="11" customFormat="false" ht="61.5" hidden="false" customHeight="true" outlineLevel="0" collapsed="false">
      <c r="A11" s="3" t="s">
        <v>45</v>
      </c>
      <c r="B11" s="3" t="s">
        <v>49</v>
      </c>
      <c r="C11" s="3" t="s">
        <v>50</v>
      </c>
      <c r="D11" s="3" t="s">
        <v>51</v>
      </c>
    </row>
    <row r="12" customFormat="false" ht="61.5" hidden="false" customHeight="true" outlineLevel="0" collapsed="false">
      <c r="A12" s="3" t="s">
        <v>52</v>
      </c>
      <c r="B12" s="3" t="s">
        <v>53</v>
      </c>
      <c r="C12" s="3" t="s">
        <v>54</v>
      </c>
      <c r="D12" s="3" t="s">
        <v>55</v>
      </c>
    </row>
    <row r="13" customFormat="false" ht="61.5" hidden="false" customHeight="true" outlineLevel="0" collapsed="false">
      <c r="A13" s="3" t="s">
        <v>56</v>
      </c>
      <c r="B13" s="3" t="s">
        <v>57</v>
      </c>
      <c r="C13" s="3" t="s">
        <v>58</v>
      </c>
      <c r="D13" s="3" t="s">
        <v>59</v>
      </c>
    </row>
    <row r="14" customFormat="false" ht="61.5" hidden="false" customHeight="true" outlineLevel="0" collapsed="false">
      <c r="A14" s="3" t="s">
        <v>60</v>
      </c>
      <c r="B14" s="3" t="s">
        <v>61</v>
      </c>
      <c r="C14" s="3" t="s">
        <v>62</v>
      </c>
      <c r="D14" s="3"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2"/>
    <col collapsed="false" customWidth="true" hidden="false" outlineLevel="0" max="4" min="4" style="0" width="110"/>
  </cols>
  <sheetData>
    <row r="1" customFormat="false" ht="17.35" hidden="false" customHeight="false" outlineLevel="0" collapsed="false">
      <c r="A1" s="1" t="s">
        <v>64</v>
      </c>
    </row>
    <row r="2" customFormat="false" ht="15" hidden="false" customHeight="false" outlineLevel="0" collapsed="false">
      <c r="A2" s="5" t="s">
        <v>65</v>
      </c>
    </row>
    <row r="4" customFormat="false" ht="15" hidden="false" customHeight="false" outlineLevel="0" collapsed="false">
      <c r="A4" s="4" t="s">
        <v>66</v>
      </c>
      <c r="B4" s="4" t="s">
        <v>67</v>
      </c>
      <c r="C4" s="4" t="s">
        <v>68</v>
      </c>
      <c r="D4" s="4" t="s">
        <v>69</v>
      </c>
    </row>
    <row r="5" customFormat="false" ht="15" hidden="false" customHeight="false" outlineLevel="0" collapsed="false">
      <c r="A5" s="6" t="s">
        <v>70</v>
      </c>
      <c r="B5" s="7" t="n">
        <v>60000</v>
      </c>
      <c r="C5" s="6" t="s">
        <v>71</v>
      </c>
      <c r="D5" s="5" t="s">
        <v>72</v>
      </c>
    </row>
    <row r="6" customFormat="false" ht="15" hidden="false" customHeight="false" outlineLevel="0" collapsed="false">
      <c r="A6" s="6" t="s">
        <v>73</v>
      </c>
      <c r="B6" s="7" t="n">
        <v>490000</v>
      </c>
      <c r="C6" s="6" t="s">
        <v>71</v>
      </c>
      <c r="D6" s="5" t="s">
        <v>74</v>
      </c>
    </row>
    <row r="7" customFormat="false" ht="15" hidden="false" customHeight="false" outlineLevel="0" collapsed="false">
      <c r="A7" s="6" t="s">
        <v>75</v>
      </c>
      <c r="B7" s="8" t="n">
        <v>0.78</v>
      </c>
      <c r="C7" s="6" t="s">
        <v>76</v>
      </c>
      <c r="D7" s="5" t="s">
        <v>77</v>
      </c>
    </row>
    <row r="8" customFormat="false" ht="15" hidden="false" customHeight="false" outlineLevel="0" collapsed="false">
      <c r="A8" s="6" t="s">
        <v>78</v>
      </c>
      <c r="B8" s="9" t="n">
        <v>61</v>
      </c>
      <c r="C8" s="6" t="s">
        <v>79</v>
      </c>
      <c r="D8" s="5" t="s">
        <v>80</v>
      </c>
    </row>
    <row r="9" customFormat="false" ht="15" hidden="false" customHeight="false" outlineLevel="0" collapsed="false">
      <c r="A9" s="6" t="s">
        <v>81</v>
      </c>
      <c r="B9" s="10" t="n">
        <v>42000</v>
      </c>
      <c r="C9" s="6" t="s">
        <v>82</v>
      </c>
      <c r="D9" s="5" t="s">
        <v>83</v>
      </c>
    </row>
    <row r="10" customFormat="false" ht="15" hidden="false" customHeight="false" outlineLevel="0" collapsed="false">
      <c r="A10" s="6" t="s">
        <v>84</v>
      </c>
      <c r="B10" s="10" t="n">
        <v>33000</v>
      </c>
      <c r="C10" s="6" t="s">
        <v>82</v>
      </c>
      <c r="D10" s="5" t="s">
        <v>85</v>
      </c>
    </row>
    <row r="11" customFormat="false" ht="15" hidden="false" customHeight="false" outlineLevel="0" collapsed="false">
      <c r="A11" s="6" t="s">
        <v>86</v>
      </c>
      <c r="B11" s="11" t="n">
        <v>0.72</v>
      </c>
      <c r="C11" s="6" t="s">
        <v>87</v>
      </c>
      <c r="D11" s="5" t="s">
        <v>88</v>
      </c>
    </row>
    <row r="12" customFormat="false" ht="15" hidden="false" customHeight="false" outlineLevel="0" collapsed="false">
      <c r="A12" s="6" t="s">
        <v>89</v>
      </c>
      <c r="B12" s="11" t="n">
        <v>0.82</v>
      </c>
      <c r="C12" s="6" t="s">
        <v>87</v>
      </c>
      <c r="D12" s="5" t="s">
        <v>90</v>
      </c>
    </row>
    <row r="13" customFormat="false" ht="15" hidden="false" customHeight="false" outlineLevel="0" collapsed="false">
      <c r="A13" s="6" t="s">
        <v>91</v>
      </c>
      <c r="B13" s="7" t="n">
        <v>36</v>
      </c>
      <c r="C13" s="6" t="s">
        <v>92</v>
      </c>
      <c r="D13" s="5" t="s">
        <v>93</v>
      </c>
    </row>
    <row r="14" customFormat="false" ht="15" hidden="false" customHeight="false" outlineLevel="0" collapsed="false">
      <c r="A14" s="6" t="s">
        <v>94</v>
      </c>
      <c r="B14" s="7" t="n">
        <v>24</v>
      </c>
      <c r="C14" s="6" t="s">
        <v>92</v>
      </c>
      <c r="D14" s="5" t="s">
        <v>93</v>
      </c>
    </row>
    <row r="15" customFormat="false" ht="15" hidden="false" customHeight="false" outlineLevel="0" collapsed="false">
      <c r="A15" s="6" t="s">
        <v>95</v>
      </c>
      <c r="B15" s="10" t="n">
        <v>19400</v>
      </c>
      <c r="C15" s="6" t="s">
        <v>82</v>
      </c>
      <c r="D15" s="5" t="s">
        <v>96</v>
      </c>
    </row>
    <row r="16" customFormat="false" ht="15" hidden="false" customHeight="false" outlineLevel="0" collapsed="false">
      <c r="A16" s="6" t="s">
        <v>97</v>
      </c>
      <c r="B16" s="11" t="n">
        <v>0.034</v>
      </c>
      <c r="C16" s="6" t="s">
        <v>98</v>
      </c>
      <c r="D16" s="5" t="s">
        <v>99</v>
      </c>
    </row>
    <row r="17" customFormat="false" ht="15" hidden="false" customHeight="false" outlineLevel="0" collapsed="false">
      <c r="A17" s="6" t="s">
        <v>100</v>
      </c>
      <c r="B17" s="9" t="n">
        <v>3.4</v>
      </c>
      <c r="C17" s="6" t="s">
        <v>79</v>
      </c>
      <c r="D17" s="5" t="s">
        <v>101</v>
      </c>
    </row>
    <row r="18" customFormat="false" ht="15" hidden="false" customHeight="false" outlineLevel="0" collapsed="false">
      <c r="A18" s="6" t="s">
        <v>102</v>
      </c>
      <c r="B18" s="9" t="n">
        <v>27</v>
      </c>
      <c r="C18" s="6" t="s">
        <v>79</v>
      </c>
      <c r="D18" s="5" t="s">
        <v>103</v>
      </c>
    </row>
    <row r="19" customFormat="false" ht="15" hidden="false" customHeight="false" outlineLevel="0" collapsed="false">
      <c r="A19" s="6" t="s">
        <v>104</v>
      </c>
      <c r="B19" s="12" t="n">
        <v>1600</v>
      </c>
      <c r="C19" s="6" t="s">
        <v>105</v>
      </c>
      <c r="D19" s="5"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6"/>
  </cols>
  <sheetData>
    <row r="1" customFormat="false" ht="17.35" hidden="false" customHeight="false" outlineLevel="0" collapsed="false">
      <c r="A1" s="1" t="s">
        <v>106</v>
      </c>
    </row>
    <row r="2" customFormat="false" ht="15" hidden="false" customHeight="false" outlineLevel="0" collapsed="false">
      <c r="A2" s="5" t="s">
        <v>107</v>
      </c>
    </row>
    <row r="4" customFormat="false" ht="15" hidden="false" customHeight="false" outlineLevel="0" collapsed="false">
      <c r="A4" s="4" t="s">
        <v>108</v>
      </c>
      <c r="B4" s="4" t="s">
        <v>109</v>
      </c>
      <c r="C4" s="4" t="s">
        <v>110</v>
      </c>
      <c r="D4" s="4" t="s">
        <v>111</v>
      </c>
    </row>
    <row r="5" customFormat="false" ht="15" hidden="false" customHeight="false" outlineLevel="0" collapsed="false">
      <c r="A5" s="6" t="s">
        <v>112</v>
      </c>
      <c r="B5" s="13" t="n">
        <f aca="false">Inputs!B5</f>
        <v>60000</v>
      </c>
      <c r="C5" s="13" t="n">
        <f aca="false">Inputs!B6</f>
        <v>490000</v>
      </c>
      <c r="D5" s="14" t="n">
        <f aca="false">B5+C5</f>
        <v>550000</v>
      </c>
    </row>
    <row r="6" customFormat="false" ht="15" hidden="false" customHeight="false" outlineLevel="0" collapsed="false">
      <c r="A6" s="6" t="s">
        <v>113</v>
      </c>
      <c r="B6" s="14" t="n">
        <f aca="false">B5*365*Inputs!$B$7</f>
        <v>17082000</v>
      </c>
      <c r="C6" s="14" t="n">
        <f aca="false">C5*365*Inputs!$B$7</f>
        <v>139503000</v>
      </c>
      <c r="D6" s="14" t="n">
        <f aca="false">B6+C6</f>
        <v>156585000</v>
      </c>
    </row>
    <row r="7" customFormat="false" ht="15" hidden="false" customHeight="false" outlineLevel="0" collapsed="false">
      <c r="A7" s="6" t="s">
        <v>114</v>
      </c>
      <c r="B7" s="15" t="n">
        <f aca="false">B6*Inputs!$B$8/1000000</f>
        <v>1042.002</v>
      </c>
      <c r="C7" s="15" t="n">
        <f aca="false">C6*Inputs!$B$8/1000000</f>
        <v>8509.683</v>
      </c>
      <c r="D7" s="15" t="n">
        <f aca="false">B7+C7</f>
        <v>9551.685</v>
      </c>
    </row>
    <row r="8" customFormat="false" ht="15" hidden="false" customHeight="false" outlineLevel="0" collapsed="false">
      <c r="A8" s="6" t="s">
        <v>115</v>
      </c>
      <c r="B8" s="16" t="n">
        <f aca="false">Inputs!B9*(1-Inputs!B11)/Inputs!B13</f>
        <v>326.666666666667</v>
      </c>
      <c r="C8" s="16" t="n">
        <f aca="false">Inputs!B10*(1-Inputs!B12)/Inputs!B14</f>
        <v>247.5</v>
      </c>
      <c r="D8" s="16" t="n">
        <f aca="false">IF(D5=0,0,(B8*B5+C8*C5)/D5)</f>
        <v>256.136363636364</v>
      </c>
    </row>
    <row r="9" customFormat="false" ht="15" hidden="false" customHeight="false" outlineLevel="0" collapsed="false">
      <c r="A9" s="6" t="s">
        <v>116</v>
      </c>
      <c r="B9" s="15" t="n">
        <f aca="false">B8*B5*12/1000000</f>
        <v>235.2</v>
      </c>
      <c r="C9" s="15" t="n">
        <f aca="false">C8*C5*12/1000000</f>
        <v>1455.3</v>
      </c>
      <c r="D9" s="15" t="n">
        <f aca="false">B9+C9</f>
        <v>1690.5</v>
      </c>
    </row>
    <row r="10" customFormat="false" ht="15" hidden="false" customHeight="false" outlineLevel="0" collapsed="false">
      <c r="A10" s="6" t="s">
        <v>117</v>
      </c>
      <c r="B10" s="15" t="n">
        <f aca="false">B5*Inputs!$B$15*Inputs!$B$16/1000000</f>
        <v>39.576</v>
      </c>
      <c r="C10" s="15" t="n">
        <f aca="false">C5*Inputs!$B$15*Inputs!$B$16/1000000</f>
        <v>323.204</v>
      </c>
      <c r="D10" s="15" t="n">
        <f aca="false">B10+C10</f>
        <v>362.78</v>
      </c>
    </row>
    <row r="11" customFormat="false" ht="15" hidden="false" customHeight="false" outlineLevel="0" collapsed="false">
      <c r="A11" s="6" t="s">
        <v>118</v>
      </c>
      <c r="B11" s="15" t="n">
        <f aca="false">B6*Inputs!$B$17*1.2/1000000</f>
        <v>69.69456</v>
      </c>
      <c r="C11" s="15" t="n">
        <f aca="false">C6*Inputs!$B$17/1000000</f>
        <v>474.3102</v>
      </c>
      <c r="D11" s="15" t="n">
        <f aca="false">B11+C11</f>
        <v>544.00476</v>
      </c>
    </row>
    <row r="12" customFormat="false" ht="15" hidden="false" customHeight="false" outlineLevel="0" collapsed="false">
      <c r="A12" s="6" t="s">
        <v>119</v>
      </c>
      <c r="B12" s="15" t="n">
        <f aca="false">B6*Inputs!$B$18/1000000</f>
        <v>461.214</v>
      </c>
      <c r="C12" s="15" t="n">
        <f aca="false">C6*Inputs!$B$18/1000000</f>
        <v>3766.581</v>
      </c>
      <c r="D12" s="15" t="n">
        <f aca="false">B12+C12</f>
        <v>4227.795</v>
      </c>
    </row>
    <row r="13" customFormat="false" ht="15" hidden="false" customHeight="false" outlineLevel="0" collapsed="false">
      <c r="A13" s="6" t="s">
        <v>120</v>
      </c>
      <c r="B13" s="15" t="n">
        <f aca="false">B5*12/Inputs!B13*Inputs!B9*Inputs!B11*0.015/1000000</f>
        <v>9.072</v>
      </c>
      <c r="C13" s="15" t="n">
        <f aca="false">C5*12/Inputs!B14*Inputs!B10*Inputs!B12*0.015/1000000</f>
        <v>99.4455</v>
      </c>
      <c r="D13" s="15" t="n">
        <f aca="false">B13+C13</f>
        <v>108.5175</v>
      </c>
    </row>
    <row r="14" customFormat="false" ht="15" hidden="false" customHeight="false" outlineLevel="0" collapsed="false">
      <c r="A14" s="17" t="s">
        <v>121</v>
      </c>
      <c r="B14" s="15" t="n">
        <f aca="false">B7-B9-B10-B11-B12-B13</f>
        <v>227.24544</v>
      </c>
      <c r="C14" s="15" t="n">
        <f aca="false">C7-C9-C10-C11-C12-C13</f>
        <v>2390.8423</v>
      </c>
      <c r="D14" s="15" t="n">
        <f aca="false">B14+C14</f>
        <v>2618.08774</v>
      </c>
    </row>
    <row r="15" customFormat="false" ht="15" hidden="false" customHeight="false" outlineLevel="0" collapsed="false">
      <c r="A15" s="6" t="s">
        <v>122</v>
      </c>
      <c r="D15" s="18" t="n">
        <f aca="false">Inputs!B19</f>
        <v>1600</v>
      </c>
    </row>
    <row r="16" customFormat="false" ht="15" hidden="false" customHeight="false" outlineLevel="0" collapsed="false">
      <c r="A16" s="17" t="s">
        <v>123</v>
      </c>
      <c r="D16" s="15" t="n">
        <f aca="false">D14-D15</f>
        <v>1018.08774</v>
      </c>
    </row>
    <row r="17" customFormat="false" ht="15" hidden="false" customHeight="false" outlineLevel="0" collapsed="false">
      <c r="A17" s="6" t="s">
        <v>124</v>
      </c>
      <c r="D17" s="19" t="n">
        <f aca="false">IF(D7=0,0,D16/D7)</f>
        <v>0.106587239843023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24"/>
    <col collapsed="false" customWidth="true" hidden="false" outlineLevel="0" max="4" min="4" style="0" width="20"/>
    <col collapsed="false" customWidth="true" hidden="false" outlineLevel="0" max="5" min="5" style="0" width="62"/>
    <col collapsed="false" customWidth="true" hidden="false" outlineLevel="0" max="6" min="6" style="0" width="20"/>
  </cols>
  <sheetData>
    <row r="1" customFormat="false" ht="17.35" hidden="false" customHeight="false" outlineLevel="0" collapsed="false">
      <c r="A1" s="1" t="s">
        <v>125</v>
      </c>
    </row>
    <row r="2" customFormat="false" ht="15" hidden="false" customHeight="false" outlineLevel="0" collapsed="false">
      <c r="A2" s="5" t="s">
        <v>126</v>
      </c>
    </row>
    <row r="5" customFormat="false" ht="23.85" hidden="false" customHeight="false" outlineLevel="0" collapsed="false">
      <c r="A5" s="4" t="s">
        <v>127</v>
      </c>
      <c r="B5" s="4" t="s">
        <v>128</v>
      </c>
      <c r="C5" s="4" t="s">
        <v>129</v>
      </c>
      <c r="D5" s="4" t="s">
        <v>130</v>
      </c>
    </row>
    <row r="6" customFormat="false" ht="15" hidden="false" customHeight="false" outlineLevel="0" collapsed="false">
      <c r="A6" s="6" t="s">
        <v>131</v>
      </c>
      <c r="B6" s="20" t="n">
        <v>100</v>
      </c>
      <c r="C6" s="20" t="n">
        <v>100</v>
      </c>
      <c r="D6" s="21" t="n">
        <v>4.3</v>
      </c>
    </row>
    <row r="7" customFormat="false" ht="15" hidden="false" customHeight="false" outlineLevel="0" collapsed="false">
      <c r="A7" s="6" t="s">
        <v>132</v>
      </c>
      <c r="B7" s="20" t="n">
        <v>97.5</v>
      </c>
      <c r="C7" s="20" t="n">
        <v>99.7</v>
      </c>
      <c r="D7" s="21" t="n">
        <v>4.31</v>
      </c>
    </row>
    <row r="8" customFormat="false" ht="15" hidden="false" customHeight="false" outlineLevel="0" collapsed="false">
      <c r="A8" s="6" t="s">
        <v>133</v>
      </c>
      <c r="B8" s="20" t="n">
        <v>94</v>
      </c>
      <c r="C8" s="20" t="n">
        <v>99.4</v>
      </c>
      <c r="D8" s="21" t="n">
        <v>4.55</v>
      </c>
    </row>
    <row r="9" customFormat="false" ht="15" hidden="false" customHeight="false" outlineLevel="0" collapsed="false">
      <c r="A9" s="6" t="s">
        <v>134</v>
      </c>
      <c r="B9" s="20" t="n">
        <v>90</v>
      </c>
      <c r="C9" s="20" t="n">
        <v>99.1</v>
      </c>
      <c r="D9" s="21" t="n">
        <v>4.65</v>
      </c>
    </row>
    <row r="10" customFormat="false" ht="15" hidden="false" customHeight="false" outlineLevel="0" collapsed="false">
      <c r="A10" s="6" t="s">
        <v>135</v>
      </c>
      <c r="B10" s="20" t="n">
        <v>86.5</v>
      </c>
      <c r="C10" s="20" t="n">
        <v>98.9</v>
      </c>
      <c r="D10" s="21" t="n">
        <v>4.81</v>
      </c>
    </row>
    <row r="11" customFormat="false" ht="15" hidden="false" customHeight="false" outlineLevel="0" collapsed="false">
      <c r="A11" s="6" t="s">
        <v>136</v>
      </c>
      <c r="B11" s="20" t="n">
        <v>83</v>
      </c>
      <c r="C11" s="20" t="n">
        <v>98.8</v>
      </c>
      <c r="D11" s="21" t="n">
        <v>5.05</v>
      </c>
    </row>
    <row r="12" customFormat="false" ht="15" hidden="false" customHeight="false" outlineLevel="0" collapsed="false">
      <c r="A12" s="6" t="s">
        <v>137</v>
      </c>
      <c r="B12" s="20" t="n">
        <v>80</v>
      </c>
      <c r="C12" s="20" t="n">
        <v>98.6</v>
      </c>
      <c r="D12" s="21" t="n">
        <v>5.08</v>
      </c>
    </row>
    <row r="13" customFormat="false" ht="15" hidden="false" customHeight="false" outlineLevel="0" collapsed="false">
      <c r="A13" s="6" t="s">
        <v>138</v>
      </c>
      <c r="B13" s="20" t="n">
        <v>77.5</v>
      </c>
      <c r="C13" s="20" t="n">
        <v>98.4</v>
      </c>
      <c r="D13" s="21" t="n">
        <v>5.12</v>
      </c>
    </row>
    <row r="14" customFormat="false" ht="15" hidden="false" customHeight="false" outlineLevel="0" collapsed="false">
      <c r="A14" s="6" t="s">
        <v>139</v>
      </c>
      <c r="B14" s="20" t="n">
        <v>75.5</v>
      </c>
      <c r="C14" s="20" t="n">
        <v>98.2</v>
      </c>
      <c r="D14" s="21" t="n">
        <v>5.3</v>
      </c>
    </row>
    <row r="15" customFormat="false" ht="15" hidden="false" customHeight="false" outlineLevel="0" collapsed="false">
      <c r="A15" s="6" t="s">
        <v>140</v>
      </c>
      <c r="B15" s="20" t="n">
        <v>73.5</v>
      </c>
      <c r="C15" s="20" t="n">
        <v>98</v>
      </c>
      <c r="D15" s="21" t="n">
        <v>5.31</v>
      </c>
    </row>
    <row r="16" customFormat="false" ht="15" hidden="false" customHeight="false" outlineLevel="0" collapsed="false">
      <c r="A16" s="6" t="s">
        <v>141</v>
      </c>
      <c r="B16" s="20" t="n">
        <v>72</v>
      </c>
      <c r="C16" s="20" t="n">
        <v>97.9</v>
      </c>
      <c r="D16" s="21" t="n">
        <v>5.31</v>
      </c>
    </row>
    <row r="17" customFormat="false" ht="15" hidden="false" customHeight="false" outlineLevel="0" collapsed="false">
      <c r="A17" s="6" t="s">
        <v>142</v>
      </c>
      <c r="B17" s="20" t="n">
        <v>70.5</v>
      </c>
      <c r="C17" s="20" t="n">
        <v>97.7</v>
      </c>
      <c r="D17" s="21" t="n">
        <v>5.32</v>
      </c>
    </row>
    <row r="18" customFormat="false" ht="15" hidden="false" customHeight="false" outlineLevel="0" collapsed="false">
      <c r="A18" s="6" t="s">
        <v>143</v>
      </c>
      <c r="B18" s="20" t="n">
        <v>69.4</v>
      </c>
      <c r="C18" s="20" t="n">
        <v>97.6</v>
      </c>
      <c r="D18" s="21" t="n">
        <v>5.31</v>
      </c>
    </row>
    <row r="21" customFormat="false" ht="15" hidden="false" customHeight="false" outlineLevel="0" collapsed="false">
      <c r="A21" s="17" t="s">
        <v>144</v>
      </c>
    </row>
    <row r="22" customFormat="false" ht="15" hidden="false" customHeight="false" outlineLevel="0" collapsed="false">
      <c r="A22" s="4" t="s">
        <v>145</v>
      </c>
      <c r="B22" s="4" t="s">
        <v>67</v>
      </c>
      <c r="C22" s="4" t="s">
        <v>68</v>
      </c>
      <c r="D22" s="4" t="s">
        <v>146</v>
      </c>
      <c r="E22" s="4" t="s">
        <v>21</v>
      </c>
      <c r="F22" s="4" t="s">
        <v>147</v>
      </c>
    </row>
    <row r="23" customFormat="false" ht="15" hidden="false" customHeight="false" outlineLevel="0" collapsed="false">
      <c r="A23" s="6" t="s">
        <v>148</v>
      </c>
      <c r="B23" s="10" t="n">
        <v>55</v>
      </c>
      <c r="C23" s="6" t="s">
        <v>149</v>
      </c>
      <c r="D23" s="6" t="s">
        <v>150</v>
      </c>
      <c r="E23" s="5" t="s">
        <v>151</v>
      </c>
      <c r="F23" s="6" t="s">
        <v>152</v>
      </c>
    </row>
    <row r="24" customFormat="false" ht="15" hidden="false" customHeight="false" outlineLevel="0" collapsed="false">
      <c r="A24" s="6" t="s">
        <v>153</v>
      </c>
      <c r="B24" s="10" t="n">
        <v>91</v>
      </c>
      <c r="C24" s="6" t="s">
        <v>149</v>
      </c>
      <c r="D24" s="6" t="s">
        <v>154</v>
      </c>
      <c r="E24" s="5" t="s">
        <v>151</v>
      </c>
      <c r="F24" s="6" t="s">
        <v>152</v>
      </c>
    </row>
    <row r="25" customFormat="false" ht="15" hidden="false" customHeight="false" outlineLevel="0" collapsed="false">
      <c r="A25" s="6" t="s">
        <v>155</v>
      </c>
      <c r="B25" s="10" t="n">
        <v>242</v>
      </c>
      <c r="C25" s="6" t="s">
        <v>149</v>
      </c>
      <c r="D25" s="6" t="s">
        <v>150</v>
      </c>
      <c r="E25" s="5" t="s">
        <v>156</v>
      </c>
      <c r="F25" s="6" t="s">
        <v>152</v>
      </c>
    </row>
    <row r="26" customFormat="false" ht="15" hidden="false" customHeight="false" outlineLevel="0" collapsed="false">
      <c r="A26" s="6" t="s">
        <v>157</v>
      </c>
      <c r="B26" s="10" t="n">
        <v>498</v>
      </c>
      <c r="C26" s="6" t="s">
        <v>149</v>
      </c>
      <c r="D26" s="6" t="s">
        <v>154</v>
      </c>
      <c r="E26" s="5" t="s">
        <v>156</v>
      </c>
      <c r="F26" s="6" t="s">
        <v>152</v>
      </c>
    </row>
    <row r="27" customFormat="false" ht="15" hidden="false" customHeight="false" outlineLevel="0" collapsed="false">
      <c r="A27" s="6" t="s">
        <v>158</v>
      </c>
      <c r="B27" s="10" t="n">
        <v>350</v>
      </c>
      <c r="C27" s="6" t="s">
        <v>149</v>
      </c>
      <c r="D27" s="6" t="s">
        <v>154</v>
      </c>
      <c r="E27" s="5" t="s">
        <v>159</v>
      </c>
      <c r="F27" s="6" t="s">
        <v>160</v>
      </c>
    </row>
    <row r="28" customFormat="false" ht="15" hidden="false" customHeight="false" outlineLevel="0" collapsed="false">
      <c r="A28" s="6" t="s">
        <v>161</v>
      </c>
      <c r="B28" s="9" t="n">
        <v>58.09</v>
      </c>
      <c r="C28" s="6" t="s">
        <v>149</v>
      </c>
      <c r="D28" s="6" t="s">
        <v>154</v>
      </c>
      <c r="E28" s="5" t="s">
        <v>156</v>
      </c>
      <c r="F28" s="6" t="s">
        <v>152</v>
      </c>
    </row>
    <row r="29" customFormat="false" ht="15" hidden="false" customHeight="false" outlineLevel="0" collapsed="false">
      <c r="A29" s="6" t="s">
        <v>162</v>
      </c>
      <c r="B29" s="22" t="n">
        <v>1.56</v>
      </c>
      <c r="C29" s="6" t="s">
        <v>163</v>
      </c>
      <c r="D29" s="6" t="s">
        <v>164</v>
      </c>
      <c r="E29" s="5" t="s">
        <v>165</v>
      </c>
      <c r="F29" s="6" t="s">
        <v>166</v>
      </c>
    </row>
    <row r="30" customFormat="false" ht="15" hidden="false" customHeight="false" outlineLevel="0" collapsed="false">
      <c r="A30" s="6" t="s">
        <v>167</v>
      </c>
      <c r="B30" s="23" t="n">
        <v>0.015</v>
      </c>
      <c r="C30" s="6" t="s">
        <v>76</v>
      </c>
      <c r="D30" s="6" t="s">
        <v>30</v>
      </c>
      <c r="E30" s="5" t="s">
        <v>168</v>
      </c>
      <c r="F30" s="6" t="s">
        <v>169</v>
      </c>
    </row>
    <row r="31" customFormat="false" ht="15" hidden="false" customHeight="false" outlineLevel="0" collapsed="false">
      <c r="A31" s="6" t="s">
        <v>170</v>
      </c>
      <c r="B31" s="8" t="n">
        <v>-0.295</v>
      </c>
      <c r="C31" s="6" t="s">
        <v>76</v>
      </c>
      <c r="D31" s="6" t="s">
        <v>137</v>
      </c>
      <c r="E31" s="5" t="s">
        <v>171</v>
      </c>
      <c r="F31" s="6" t="s">
        <v>166</v>
      </c>
    </row>
    <row r="32" customFormat="false" ht="15" hidden="false" customHeight="false" outlineLevel="0" collapsed="false">
      <c r="A32" s="6" t="s">
        <v>172</v>
      </c>
      <c r="B32" s="10" t="n">
        <v>43400</v>
      </c>
      <c r="C32" s="6" t="s">
        <v>149</v>
      </c>
      <c r="D32" s="6" t="s">
        <v>173</v>
      </c>
      <c r="E32" s="5" t="s">
        <v>174</v>
      </c>
      <c r="F32" s="6" t="s">
        <v>166</v>
      </c>
    </row>
    <row r="33" customFormat="false" ht="15" hidden="false" customHeight="false" outlineLevel="0" collapsed="false">
      <c r="A33" s="6" t="s">
        <v>175</v>
      </c>
      <c r="B33" s="7" t="n">
        <v>100000</v>
      </c>
      <c r="C33" s="6" t="s">
        <v>176</v>
      </c>
      <c r="D33" s="6" t="s">
        <v>22</v>
      </c>
      <c r="E33" s="5" t="s">
        <v>177</v>
      </c>
      <c r="F33" s="6" t="s">
        <v>166</v>
      </c>
    </row>
    <row r="34" customFormat="false" ht="15" hidden="false" customHeight="false" outlineLevel="0" collapsed="false">
      <c r="A34" s="6" t="s">
        <v>178</v>
      </c>
      <c r="B34" s="10" t="n">
        <v>4200</v>
      </c>
      <c r="C34" s="6" t="s">
        <v>179</v>
      </c>
      <c r="D34" s="6" t="s">
        <v>22</v>
      </c>
      <c r="E34" s="5" t="s">
        <v>177</v>
      </c>
      <c r="F34" s="6"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30"/>
    <col collapsed="false" customWidth="true" hidden="false" outlineLevel="0" max="4" min="4" style="0" width="14"/>
    <col collapsed="false" customWidth="true" hidden="false" outlineLevel="0" max="6" min="5" style="0" width="10"/>
    <col collapsed="false" customWidth="true" hidden="false" outlineLevel="0" max="8" min="7" style="0" width="40"/>
    <col collapsed="false" customWidth="true" hidden="false" outlineLevel="0" max="9" min="9" style="0" width="14"/>
    <col collapsed="false" customWidth="true" hidden="false" outlineLevel="0" max="10" min="10" style="0" width="12"/>
    <col collapsed="false" customWidth="true" hidden="false" outlineLevel="0" max="12" min="11" style="0" width="10"/>
    <col collapsed="false" customWidth="true" hidden="false" outlineLevel="0" max="13" min="13" style="0" width="14"/>
    <col collapsed="false" customWidth="true" hidden="false" outlineLevel="0" max="14" min="14" style="0" width="16"/>
  </cols>
  <sheetData>
    <row r="1" customFormat="false" ht="17.35" hidden="false" customHeight="false" outlineLevel="0" collapsed="false">
      <c r="A1" s="1" t="s">
        <v>180</v>
      </c>
    </row>
    <row r="2" customFormat="false" ht="15" hidden="false" customHeight="false" outlineLevel="0" collapsed="false">
      <c r="A2" s="5" t="s">
        <v>181</v>
      </c>
    </row>
    <row r="4" customFormat="false" ht="23.85" hidden="false" customHeight="false" outlineLevel="0" collapsed="false">
      <c r="A4" s="4" t="s">
        <v>182</v>
      </c>
      <c r="B4" s="4" t="s">
        <v>183</v>
      </c>
      <c r="C4" s="4" t="s">
        <v>184</v>
      </c>
      <c r="D4" s="4" t="s">
        <v>185</v>
      </c>
      <c r="E4" s="4" t="s">
        <v>68</v>
      </c>
      <c r="F4" s="4" t="s">
        <v>186</v>
      </c>
      <c r="G4" s="4" t="s">
        <v>187</v>
      </c>
      <c r="H4" s="4" t="s">
        <v>188</v>
      </c>
      <c r="I4" s="4" t="s">
        <v>189</v>
      </c>
      <c r="J4" s="4" t="s">
        <v>190</v>
      </c>
      <c r="K4" s="4" t="s">
        <v>191</v>
      </c>
      <c r="L4" s="4" t="s">
        <v>192</v>
      </c>
      <c r="M4" s="4" t="s">
        <v>193</v>
      </c>
      <c r="N4" s="4" t="s">
        <v>194</v>
      </c>
    </row>
    <row r="5" customFormat="false" ht="39.75" hidden="false" customHeight="true" outlineLevel="0" collapsed="false">
      <c r="A5" s="6" t="s">
        <v>195</v>
      </c>
      <c r="B5" s="3" t="s">
        <v>196</v>
      </c>
      <c r="C5" s="3" t="s">
        <v>197</v>
      </c>
      <c r="D5" s="24" t="n">
        <f aca="false">Inputs!B11</f>
        <v>0.72</v>
      </c>
      <c r="E5" s="6" t="s">
        <v>87</v>
      </c>
      <c r="F5" s="6" t="s">
        <v>198</v>
      </c>
      <c r="G5" s="3" t="s">
        <v>199</v>
      </c>
      <c r="H5" s="3" t="s">
        <v>200</v>
      </c>
      <c r="I5" s="24" t="n">
        <f aca="false">Inputs!B11*Market_Data!B18/Market_Data!B6</f>
        <v>0.49968</v>
      </c>
      <c r="J5" s="6" t="s">
        <v>143</v>
      </c>
      <c r="K5" s="19" t="n">
        <f aca="false">IF(D5=0,0,I5/D5-1)</f>
        <v>-0.306</v>
      </c>
      <c r="L5" s="25" t="n">
        <v>0.05</v>
      </c>
      <c r="M5" s="17" t="str">
        <f aca="false">IF(OR(ABS(K5)&gt;L5,ABS(N5)&gt;$D$33),"STALE","Fresh")</f>
        <v>STALE</v>
      </c>
      <c r="N5" s="18" t="n">
        <f aca="false">Impact_Engine!D35</f>
        <v>-182.292767999999</v>
      </c>
    </row>
    <row r="6" customFormat="false" ht="39.75" hidden="false" customHeight="true" outlineLevel="0" collapsed="false">
      <c r="A6" s="6" t="s">
        <v>201</v>
      </c>
      <c r="B6" s="3" t="s">
        <v>202</v>
      </c>
      <c r="C6" s="3" t="s">
        <v>203</v>
      </c>
      <c r="D6" s="24" t="n">
        <f aca="false">Inputs!B12</f>
        <v>0.82</v>
      </c>
      <c r="E6" s="6" t="s">
        <v>87</v>
      </c>
      <c r="F6" s="6" t="s">
        <v>198</v>
      </c>
      <c r="G6" s="3" t="s">
        <v>204</v>
      </c>
      <c r="H6" s="3" t="s">
        <v>205</v>
      </c>
      <c r="I6" s="24" t="n">
        <f aca="false">Inputs!B12*Market_Data!C18/Market_Data!C6</f>
        <v>0.80032</v>
      </c>
      <c r="J6" s="6" t="s">
        <v>143</v>
      </c>
      <c r="K6" s="19" t="n">
        <f aca="false">IF(D6=0,0,I6/D6-1)</f>
        <v>-0.024</v>
      </c>
      <c r="L6" s="25" t="n">
        <v>0.05</v>
      </c>
      <c r="M6" s="17" t="str">
        <f aca="false">IF(OR(ABS(K6)&gt;L6,ABS(N6)&gt;$D$33),"STALE","Fresh")</f>
        <v>STALE</v>
      </c>
      <c r="N6" s="18" t="n">
        <f aca="false">Impact_Engine!E35</f>
        <v>-156.726108000001</v>
      </c>
    </row>
    <row r="7" customFormat="false" ht="39.75" hidden="false" customHeight="true" outlineLevel="0" collapsed="false">
      <c r="A7" s="6" t="s">
        <v>206</v>
      </c>
      <c r="B7" s="3" t="s">
        <v>207</v>
      </c>
      <c r="C7" s="3" t="s">
        <v>208</v>
      </c>
      <c r="D7" s="24" t="n">
        <f aca="false">Inputs!B16</f>
        <v>0.034</v>
      </c>
      <c r="E7" s="6" t="s">
        <v>98</v>
      </c>
      <c r="F7" s="6" t="s">
        <v>198</v>
      </c>
      <c r="G7" s="3" t="s">
        <v>209</v>
      </c>
      <c r="H7" s="3" t="s">
        <v>210</v>
      </c>
      <c r="I7" s="24" t="n">
        <f aca="false">Inputs!B16*Market_Data!B24/Market_Data!B23</f>
        <v>0.0562545454545455</v>
      </c>
      <c r="J7" s="6" t="s">
        <v>211</v>
      </c>
      <c r="K7" s="19" t="n">
        <f aca="false">IF(D7=0,0,I7/D7-1)</f>
        <v>0.654545454545455</v>
      </c>
      <c r="L7" s="25" t="n">
        <v>0.1</v>
      </c>
      <c r="M7" s="17" t="str">
        <f aca="false">IF(OR(ABS(K7)&gt;L7,ABS(N7)&gt;$D$33),"STALE","Fresh")</f>
        <v>STALE</v>
      </c>
      <c r="N7" s="18" t="n">
        <f aca="false">Impact_Engine!F35</f>
        <v>-237.456</v>
      </c>
    </row>
    <row r="8" customFormat="false" ht="39.75" hidden="false" customHeight="true" outlineLevel="0" collapsed="false">
      <c r="A8" s="6" t="s">
        <v>212</v>
      </c>
      <c r="B8" s="3" t="s">
        <v>213</v>
      </c>
      <c r="C8" s="3" t="s">
        <v>214</v>
      </c>
      <c r="D8" s="22" t="n">
        <v>1.2</v>
      </c>
      <c r="E8" s="6" t="s">
        <v>163</v>
      </c>
      <c r="F8" s="6" t="s">
        <v>198</v>
      </c>
      <c r="G8" s="3" t="s">
        <v>215</v>
      </c>
      <c r="H8" s="3" t="s">
        <v>216</v>
      </c>
      <c r="I8" s="26" t="n">
        <f aca="false">Market_Data!B29</f>
        <v>1.56</v>
      </c>
      <c r="J8" s="6" t="s">
        <v>164</v>
      </c>
      <c r="K8" s="19" t="n">
        <f aca="false">IF(D8=0,0,I8/D8-1)</f>
        <v>0.3</v>
      </c>
      <c r="L8" s="25" t="n">
        <v>0.1</v>
      </c>
      <c r="M8" s="17" t="str">
        <f aca="false">IF(OR(ABS(K8)&gt;L8,ABS(N8)&gt;$D$33),"STALE","Fresh")</f>
        <v>STALE</v>
      </c>
      <c r="N8" s="18" t="n">
        <f aca="false">Impact_Engine!G35</f>
        <v>-20.9083680000003</v>
      </c>
    </row>
    <row r="9" customFormat="false" ht="39.75" hidden="false" customHeight="true" outlineLevel="0" collapsed="false">
      <c r="A9" s="6" t="s">
        <v>217</v>
      </c>
      <c r="B9" s="3" t="s">
        <v>218</v>
      </c>
      <c r="C9" s="3" t="s">
        <v>219</v>
      </c>
      <c r="D9" s="23" t="n">
        <v>0.015</v>
      </c>
      <c r="E9" s="6" t="s">
        <v>76</v>
      </c>
      <c r="F9" s="6" t="s">
        <v>198</v>
      </c>
      <c r="G9" s="3" t="s">
        <v>220</v>
      </c>
      <c r="H9" s="3" t="s">
        <v>221</v>
      </c>
      <c r="I9" s="27" t="n">
        <f aca="false">Market_Data!B30</f>
        <v>0.015</v>
      </c>
      <c r="J9" s="6" t="s">
        <v>30</v>
      </c>
      <c r="K9" s="19" t="n">
        <f aca="false">IF(D9=0,0,I9/D9-1)</f>
        <v>0</v>
      </c>
      <c r="L9" s="25" t="n">
        <v>0.1</v>
      </c>
      <c r="M9" s="17" t="str">
        <f aca="false">IF(OR(ABS(K9)&gt;L9,ABS(N9)&gt;$D$33),"STALE","Fresh")</f>
        <v>Fresh</v>
      </c>
      <c r="N9" s="18" t="n">
        <f aca="false">Impact_Engine!H35</f>
        <v>0</v>
      </c>
    </row>
    <row r="10" customFormat="false" ht="39.75" hidden="false" customHeight="true" outlineLevel="0" collapsed="false">
      <c r="A10" s="6" t="s">
        <v>222</v>
      </c>
      <c r="B10" s="3" t="s">
        <v>223</v>
      </c>
      <c r="C10" s="3" t="s">
        <v>224</v>
      </c>
      <c r="D10" s="28" t="n">
        <f aca="false">Inputs!B8</f>
        <v>61</v>
      </c>
      <c r="E10" s="6" t="s">
        <v>79</v>
      </c>
      <c r="F10" s="6" t="s">
        <v>225</v>
      </c>
      <c r="G10" s="3" t="s">
        <v>226</v>
      </c>
      <c r="H10" s="3" t="s">
        <v>227</v>
      </c>
      <c r="I10" s="28" t="n">
        <f aca="false">Market_Data!B28</f>
        <v>58.09</v>
      </c>
      <c r="J10" s="6" t="s">
        <v>211</v>
      </c>
      <c r="K10" s="19" t="n">
        <f aca="false">IF(D10=0,0,I10/D10-1)</f>
        <v>-0.0477049180327869</v>
      </c>
      <c r="M10" s="17" t="s">
        <v>228</v>
      </c>
      <c r="N10" s="18" t="n">
        <f aca="false">Impact_Engine!J35</f>
        <v>-455.662349999999</v>
      </c>
    </row>
    <row r="11" customFormat="false" ht="39.75" hidden="false" customHeight="true" outlineLevel="0" collapsed="false">
      <c r="A11" s="6" t="s">
        <v>229</v>
      </c>
      <c r="B11" s="3" t="s">
        <v>230</v>
      </c>
      <c r="C11" s="3" t="s">
        <v>231</v>
      </c>
      <c r="D11" s="29" t="n">
        <f aca="false">Inputs!B9</f>
        <v>42000</v>
      </c>
      <c r="E11" s="6" t="s">
        <v>82</v>
      </c>
      <c r="F11" s="6" t="s">
        <v>225</v>
      </c>
      <c r="G11" s="3" t="s">
        <v>232</v>
      </c>
      <c r="H11" s="3" t="s">
        <v>233</v>
      </c>
      <c r="M11" s="6" t="s">
        <v>234</v>
      </c>
    </row>
    <row r="12" customFormat="false" ht="39.75" hidden="false" customHeight="true" outlineLevel="0" collapsed="false">
      <c r="A12" s="6" t="s">
        <v>235</v>
      </c>
      <c r="B12" s="3" t="s">
        <v>236</v>
      </c>
      <c r="C12" s="3" t="s">
        <v>237</v>
      </c>
      <c r="D12" s="29" t="n">
        <f aca="false">Inputs!B10</f>
        <v>33000</v>
      </c>
      <c r="E12" s="6" t="s">
        <v>82</v>
      </c>
      <c r="F12" s="6" t="s">
        <v>225</v>
      </c>
      <c r="G12" s="3" t="s">
        <v>238</v>
      </c>
      <c r="H12" s="3" t="s">
        <v>233</v>
      </c>
      <c r="M12" s="6" t="s">
        <v>234</v>
      </c>
    </row>
    <row r="13" customFormat="false" ht="39.75" hidden="false" customHeight="true" outlineLevel="0" collapsed="false">
      <c r="A13" s="6" t="s">
        <v>239</v>
      </c>
      <c r="B13" s="3" t="s">
        <v>91</v>
      </c>
      <c r="C13" s="3" t="s">
        <v>240</v>
      </c>
      <c r="D13" s="13" t="n">
        <f aca="false">Inputs!B13</f>
        <v>36</v>
      </c>
      <c r="E13" s="6" t="s">
        <v>92</v>
      </c>
      <c r="F13" s="6" t="s">
        <v>225</v>
      </c>
      <c r="G13" s="3" t="s">
        <v>241</v>
      </c>
      <c r="H13" s="3" t="s">
        <v>233</v>
      </c>
      <c r="M13" s="6" t="s">
        <v>234</v>
      </c>
    </row>
    <row r="14" customFormat="false" ht="39.75" hidden="false" customHeight="true" outlineLevel="0" collapsed="false">
      <c r="A14" s="6" t="s">
        <v>242</v>
      </c>
      <c r="B14" s="3" t="s">
        <v>94</v>
      </c>
      <c r="C14" s="3" t="s">
        <v>243</v>
      </c>
      <c r="D14" s="13" t="n">
        <f aca="false">Inputs!B14</f>
        <v>24</v>
      </c>
      <c r="E14" s="6" t="s">
        <v>92</v>
      </c>
      <c r="F14" s="6" t="s">
        <v>225</v>
      </c>
      <c r="G14" s="3" t="s">
        <v>241</v>
      </c>
      <c r="H14" s="3" t="s">
        <v>233</v>
      </c>
      <c r="M14" s="6" t="s">
        <v>234</v>
      </c>
    </row>
    <row r="15" customFormat="false" ht="39.75" hidden="false" customHeight="true" outlineLevel="0" collapsed="false">
      <c r="A15" s="6" t="s">
        <v>244</v>
      </c>
      <c r="B15" s="3" t="s">
        <v>245</v>
      </c>
      <c r="C15" s="3" t="s">
        <v>246</v>
      </c>
      <c r="D15" s="24" t="n">
        <f aca="false">Inputs!B7</f>
        <v>0.78</v>
      </c>
      <c r="E15" s="6" t="s">
        <v>76</v>
      </c>
      <c r="F15" s="6" t="s">
        <v>225</v>
      </c>
      <c r="G15" s="3" t="s">
        <v>247</v>
      </c>
      <c r="H15" s="3" t="s">
        <v>233</v>
      </c>
      <c r="M15" s="6" t="s">
        <v>234</v>
      </c>
    </row>
    <row r="16" customFormat="false" ht="39.75" hidden="false" customHeight="true" outlineLevel="0" collapsed="false">
      <c r="A16" s="6" t="s">
        <v>248</v>
      </c>
      <c r="B16" s="3" t="s">
        <v>249</v>
      </c>
      <c r="C16" s="3" t="s">
        <v>250</v>
      </c>
      <c r="D16" s="13" t="n">
        <f aca="false">Inputs!B5</f>
        <v>60000</v>
      </c>
      <c r="E16" s="6" t="s">
        <v>71</v>
      </c>
      <c r="F16" s="6" t="s">
        <v>225</v>
      </c>
      <c r="G16" s="3" t="s">
        <v>251</v>
      </c>
      <c r="H16" s="3" t="s">
        <v>233</v>
      </c>
      <c r="M16" s="6" t="s">
        <v>234</v>
      </c>
    </row>
    <row r="17" customFormat="false" ht="39.75" hidden="false" customHeight="true" outlineLevel="0" collapsed="false">
      <c r="A17" s="6" t="s">
        <v>252</v>
      </c>
      <c r="B17" s="3" t="s">
        <v>253</v>
      </c>
      <c r="C17" s="3" t="s">
        <v>254</v>
      </c>
      <c r="D17" s="13" t="n">
        <f aca="false">Inputs!B6</f>
        <v>490000</v>
      </c>
      <c r="E17" s="6" t="s">
        <v>71</v>
      </c>
      <c r="F17" s="6" t="s">
        <v>225</v>
      </c>
      <c r="G17" s="3" t="s">
        <v>251</v>
      </c>
      <c r="H17" s="3" t="s">
        <v>233</v>
      </c>
      <c r="M17" s="6" t="s">
        <v>234</v>
      </c>
    </row>
    <row r="18" customFormat="false" ht="39.75" hidden="false" customHeight="true" outlineLevel="0" collapsed="false">
      <c r="A18" s="6" t="s">
        <v>255</v>
      </c>
      <c r="B18" s="3" t="s">
        <v>256</v>
      </c>
      <c r="C18" s="3" t="s">
        <v>257</v>
      </c>
      <c r="D18" s="29" t="n">
        <f aca="false">Inputs!B15</f>
        <v>19400</v>
      </c>
      <c r="E18" s="6" t="s">
        <v>82</v>
      </c>
      <c r="F18" s="6" t="s">
        <v>225</v>
      </c>
      <c r="G18" s="3" t="s">
        <v>258</v>
      </c>
      <c r="H18" s="3" t="s">
        <v>233</v>
      </c>
      <c r="M18" s="6" t="s">
        <v>234</v>
      </c>
    </row>
    <row r="19" customFormat="false" ht="39.75" hidden="false" customHeight="true" outlineLevel="0" collapsed="false">
      <c r="A19" s="6" t="s">
        <v>259</v>
      </c>
      <c r="B19" s="3" t="s">
        <v>260</v>
      </c>
      <c r="C19" s="3" t="s">
        <v>261</v>
      </c>
      <c r="D19" s="28" t="n">
        <f aca="false">Inputs!B17</f>
        <v>3.4</v>
      </c>
      <c r="E19" s="6" t="s">
        <v>79</v>
      </c>
      <c r="F19" s="6" t="s">
        <v>225</v>
      </c>
      <c r="G19" s="3" t="s">
        <v>262</v>
      </c>
      <c r="H19" s="3" t="s">
        <v>233</v>
      </c>
      <c r="M19" s="6" t="s">
        <v>234</v>
      </c>
    </row>
    <row r="20" customFormat="false" ht="39.75" hidden="false" customHeight="true" outlineLevel="0" collapsed="false">
      <c r="A20" s="6" t="s">
        <v>263</v>
      </c>
      <c r="B20" s="3" t="s">
        <v>264</v>
      </c>
      <c r="C20" s="3" t="s">
        <v>265</v>
      </c>
      <c r="D20" s="28" t="n">
        <f aca="false">Inputs!B18</f>
        <v>27</v>
      </c>
      <c r="E20" s="6" t="s">
        <v>79</v>
      </c>
      <c r="F20" s="6" t="s">
        <v>225</v>
      </c>
      <c r="G20" s="3" t="s">
        <v>262</v>
      </c>
      <c r="H20" s="3" t="s">
        <v>233</v>
      </c>
      <c r="M20" s="6" t="s">
        <v>234</v>
      </c>
    </row>
    <row r="21" customFormat="false" ht="39.75" hidden="false" customHeight="true" outlineLevel="0" collapsed="false">
      <c r="A21" s="6" t="s">
        <v>266</v>
      </c>
      <c r="B21" s="3" t="s">
        <v>104</v>
      </c>
      <c r="C21" s="3" t="s">
        <v>267</v>
      </c>
      <c r="D21" s="18" t="n">
        <f aca="false">Inputs!B19</f>
        <v>1600</v>
      </c>
      <c r="E21" s="6" t="s">
        <v>179</v>
      </c>
      <c r="F21" s="6" t="s">
        <v>225</v>
      </c>
      <c r="G21" s="3" t="s">
        <v>268</v>
      </c>
      <c r="H21" s="3" t="s">
        <v>233</v>
      </c>
      <c r="M21" s="6" t="s">
        <v>234</v>
      </c>
    </row>
    <row r="22" customFormat="false" ht="39.75" hidden="false" customHeight="true" outlineLevel="0" collapsed="false">
      <c r="A22" s="6" t="s">
        <v>269</v>
      </c>
      <c r="B22" s="3" t="s">
        <v>270</v>
      </c>
      <c r="C22" s="3" t="s">
        <v>271</v>
      </c>
      <c r="D22" s="7" t="n">
        <v>365</v>
      </c>
      <c r="E22" s="6" t="s">
        <v>272</v>
      </c>
      <c r="F22" s="6" t="s">
        <v>225</v>
      </c>
      <c r="G22" s="3" t="s">
        <v>273</v>
      </c>
      <c r="H22" s="3" t="s">
        <v>233</v>
      </c>
      <c r="M22" s="6" t="s">
        <v>234</v>
      </c>
    </row>
    <row r="23" customFormat="false" ht="39.75" hidden="false" customHeight="true" outlineLevel="0" collapsed="false">
      <c r="A23" s="6" t="s">
        <v>274</v>
      </c>
      <c r="B23" s="3" t="s">
        <v>275</v>
      </c>
      <c r="C23" s="3" t="s">
        <v>276</v>
      </c>
      <c r="D23" s="7" t="n">
        <v>12</v>
      </c>
      <c r="E23" s="6" t="s">
        <v>92</v>
      </c>
      <c r="F23" s="6" t="s">
        <v>225</v>
      </c>
      <c r="G23" s="3" t="s">
        <v>277</v>
      </c>
      <c r="H23" s="3" t="s">
        <v>233</v>
      </c>
      <c r="M23" s="6" t="s">
        <v>234</v>
      </c>
    </row>
    <row r="24" customFormat="false" ht="39.75" hidden="false" customHeight="true" outlineLevel="0" collapsed="false">
      <c r="A24" s="6" t="s">
        <v>278</v>
      </c>
      <c r="B24" s="3" t="s">
        <v>279</v>
      </c>
      <c r="C24" s="3" t="s">
        <v>280</v>
      </c>
      <c r="D24" s="7" t="n">
        <v>1000000</v>
      </c>
      <c r="E24" s="6" t="s">
        <v>281</v>
      </c>
      <c r="F24" s="6" t="s">
        <v>225</v>
      </c>
      <c r="G24" s="3" t="s">
        <v>277</v>
      </c>
      <c r="H24" s="3" t="s">
        <v>233</v>
      </c>
      <c r="M24" s="6" t="s">
        <v>234</v>
      </c>
    </row>
    <row r="27" customFormat="false" ht="15" hidden="false" customHeight="false" outlineLevel="0" collapsed="false">
      <c r="A27" s="17" t="s">
        <v>282</v>
      </c>
    </row>
    <row r="28" customFormat="false" ht="15" hidden="false" customHeight="false" outlineLevel="0" collapsed="false">
      <c r="B28" s="6" t="s">
        <v>283</v>
      </c>
      <c r="D28" s="18" t="n">
        <f aca="false">Impact_Engine!C34</f>
        <v>1018.08774</v>
      </c>
    </row>
    <row r="29" customFormat="false" ht="15" hidden="false" customHeight="false" outlineLevel="0" collapsed="false">
      <c r="B29" s="6" t="s">
        <v>284</v>
      </c>
      <c r="D29" s="18" t="n">
        <f aca="false">Impact_Engine!I34</f>
        <v>420.704495999999</v>
      </c>
    </row>
    <row r="30" customFormat="false" ht="15" hidden="false" customHeight="false" outlineLevel="0" collapsed="false">
      <c r="B30" s="17" t="s">
        <v>285</v>
      </c>
      <c r="D30" s="30" t="n">
        <f aca="false">D29-D28</f>
        <v>-597.383244</v>
      </c>
    </row>
    <row r="31" customFormat="false" ht="15" hidden="false" customHeight="false" outlineLevel="0" collapsed="false">
      <c r="B31" s="6" t="s">
        <v>286</v>
      </c>
      <c r="D31" s="19" t="n">
        <f aca="false">IF(D28=0,0,D30/D28)</f>
        <v>-0.586769902562623</v>
      </c>
    </row>
    <row r="32" customFormat="false" ht="15" hidden="false" customHeight="false" outlineLevel="0" collapsed="false">
      <c r="B32" s="6" t="s">
        <v>287</v>
      </c>
      <c r="D32" s="25" t="n">
        <v>0.05</v>
      </c>
    </row>
    <row r="33" customFormat="false" ht="15" hidden="false" customHeight="false" outlineLevel="0" collapsed="false">
      <c r="B33" s="6" t="s">
        <v>288</v>
      </c>
      <c r="D33" s="15" t="n">
        <f aca="false">D32*D28</f>
        <v>50.904387</v>
      </c>
    </row>
    <row r="34" customFormat="false" ht="15" hidden="false" customHeight="false" outlineLevel="0" collapsed="false">
      <c r="B34" s="5"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
    <col collapsed="false" customWidth="true" hidden="false" outlineLevel="0" max="10" min="3" style="0" width="18"/>
  </cols>
  <sheetData>
    <row r="1" customFormat="false" ht="17.35" hidden="false" customHeight="false" outlineLevel="0" collapsed="false">
      <c r="A1" s="1" t="s">
        <v>290</v>
      </c>
    </row>
    <row r="2" customFormat="false" ht="15" hidden="false" customHeight="false" outlineLevel="0" collapsed="false">
      <c r="A2" s="5" t="s">
        <v>291</v>
      </c>
    </row>
    <row r="4" customFormat="false" ht="23.85" hidden="false" customHeight="false" outlineLevel="0" collapsed="false">
      <c r="A4" s="4" t="s">
        <v>292</v>
      </c>
      <c r="B4" s="4" t="s">
        <v>68</v>
      </c>
      <c r="C4" s="4" t="s">
        <v>293</v>
      </c>
      <c r="D4" s="4" t="s">
        <v>294</v>
      </c>
      <c r="E4" s="4" t="s">
        <v>295</v>
      </c>
      <c r="F4" s="4" t="s">
        <v>296</v>
      </c>
      <c r="G4" s="4" t="s">
        <v>297</v>
      </c>
      <c r="H4" s="4" t="s">
        <v>298</v>
      </c>
      <c r="I4" s="4" t="s">
        <v>299</v>
      </c>
      <c r="J4" s="4" t="s">
        <v>300</v>
      </c>
    </row>
    <row r="5" customFormat="false" ht="15" hidden="false" customHeight="false" outlineLevel="0" collapsed="false">
      <c r="A5" s="17" t="s">
        <v>301</v>
      </c>
    </row>
    <row r="6" customFormat="false" ht="15" hidden="false" customHeight="false" outlineLevel="0" collapsed="false">
      <c r="A6" s="6" t="s">
        <v>302</v>
      </c>
      <c r="B6" s="6" t="s">
        <v>71</v>
      </c>
      <c r="C6" s="13" t="n">
        <f aca="false">Inputs!$B$5</f>
        <v>60000</v>
      </c>
      <c r="D6" s="13" t="n">
        <f aca="false">Inputs!$B$5</f>
        <v>60000</v>
      </c>
      <c r="E6" s="13" t="n">
        <f aca="false">Inputs!$B$5</f>
        <v>60000</v>
      </c>
      <c r="F6" s="13" t="n">
        <f aca="false">Inputs!$B$5</f>
        <v>60000</v>
      </c>
      <c r="G6" s="13" t="n">
        <f aca="false">Inputs!$B$5</f>
        <v>60000</v>
      </c>
      <c r="H6" s="13" t="n">
        <f aca="false">Inputs!$B$5</f>
        <v>60000</v>
      </c>
      <c r="I6" s="13" t="n">
        <f aca="false">Inputs!$B$5</f>
        <v>60000</v>
      </c>
      <c r="J6" s="13" t="n">
        <f aca="false">Inputs!$B$5</f>
        <v>60000</v>
      </c>
    </row>
    <row r="7" customFormat="false" ht="15" hidden="false" customHeight="false" outlineLevel="0" collapsed="false">
      <c r="A7" s="6" t="s">
        <v>303</v>
      </c>
      <c r="B7" s="6" t="s">
        <v>71</v>
      </c>
      <c r="C7" s="13" t="n">
        <f aca="false">Inputs!$B$6</f>
        <v>490000</v>
      </c>
      <c r="D7" s="13" t="n">
        <f aca="false">Inputs!$B$6</f>
        <v>490000</v>
      </c>
      <c r="E7" s="13" t="n">
        <f aca="false">Inputs!$B$6</f>
        <v>490000</v>
      </c>
      <c r="F7" s="13" t="n">
        <f aca="false">Inputs!$B$6</f>
        <v>490000</v>
      </c>
      <c r="G7" s="13" t="n">
        <f aca="false">Inputs!$B$6</f>
        <v>490000</v>
      </c>
      <c r="H7" s="13" t="n">
        <f aca="false">Inputs!$B$6</f>
        <v>490000</v>
      </c>
      <c r="I7" s="13" t="n">
        <f aca="false">Inputs!$B$6</f>
        <v>490000</v>
      </c>
      <c r="J7" s="13" t="n">
        <f aca="false">Inputs!$B$6</f>
        <v>490000</v>
      </c>
    </row>
    <row r="8" customFormat="false" ht="15" hidden="false" customHeight="false" outlineLevel="0" collapsed="false">
      <c r="A8" s="6" t="s">
        <v>304</v>
      </c>
      <c r="B8" s="6" t="s">
        <v>76</v>
      </c>
      <c r="C8" s="24" t="n">
        <f aca="false">Inputs!$B$7</f>
        <v>0.78</v>
      </c>
      <c r="D8" s="24" t="n">
        <f aca="false">Inputs!$B$7</f>
        <v>0.78</v>
      </c>
      <c r="E8" s="24" t="n">
        <f aca="false">Inputs!$B$7</f>
        <v>0.78</v>
      </c>
      <c r="F8" s="24" t="n">
        <f aca="false">Inputs!$B$7</f>
        <v>0.78</v>
      </c>
      <c r="G8" s="24" t="n">
        <f aca="false">Inputs!$B$7</f>
        <v>0.78</v>
      </c>
      <c r="H8" s="24" t="n">
        <f aca="false">Inputs!$B$7</f>
        <v>0.78</v>
      </c>
      <c r="I8" s="24" t="n">
        <f aca="false">Inputs!$B$7</f>
        <v>0.78</v>
      </c>
      <c r="J8" s="24" t="n">
        <f aca="false">Inputs!$B$7</f>
        <v>0.78</v>
      </c>
    </row>
    <row r="9" customFormat="false" ht="15" hidden="false" customHeight="false" outlineLevel="0" collapsed="false">
      <c r="A9" s="6" t="s">
        <v>305</v>
      </c>
      <c r="B9" s="6" t="s">
        <v>149</v>
      </c>
      <c r="C9" s="28" t="n">
        <f aca="false">Inputs!$B$8</f>
        <v>61</v>
      </c>
      <c r="D9" s="28" t="n">
        <f aca="false">Inputs!$B$8</f>
        <v>61</v>
      </c>
      <c r="E9" s="28" t="n">
        <f aca="false">Inputs!$B$8</f>
        <v>61</v>
      </c>
      <c r="F9" s="28" t="n">
        <f aca="false">Inputs!$B$8</f>
        <v>61</v>
      </c>
      <c r="G9" s="28" t="n">
        <f aca="false">Inputs!$B$8</f>
        <v>61</v>
      </c>
      <c r="H9" s="28" t="n">
        <f aca="false">Inputs!$B$8</f>
        <v>61</v>
      </c>
      <c r="I9" s="28" t="n">
        <f aca="false">Inputs!$B$8</f>
        <v>61</v>
      </c>
      <c r="J9" s="31" t="n">
        <f aca="false">Driver_Map!$I$10</f>
        <v>58.09</v>
      </c>
    </row>
    <row r="10" customFormat="false" ht="15" hidden="false" customHeight="false" outlineLevel="0" collapsed="false">
      <c r="A10" s="6" t="s">
        <v>81</v>
      </c>
      <c r="B10" s="6" t="s">
        <v>149</v>
      </c>
      <c r="C10" s="29" t="n">
        <f aca="false">Inputs!$B$9</f>
        <v>42000</v>
      </c>
      <c r="D10" s="29" t="n">
        <f aca="false">Inputs!$B$9</f>
        <v>42000</v>
      </c>
      <c r="E10" s="29" t="n">
        <f aca="false">Inputs!$B$9</f>
        <v>42000</v>
      </c>
      <c r="F10" s="29" t="n">
        <f aca="false">Inputs!$B$9</f>
        <v>42000</v>
      </c>
      <c r="G10" s="29" t="n">
        <f aca="false">Inputs!$B$9</f>
        <v>42000</v>
      </c>
      <c r="H10" s="29" t="n">
        <f aca="false">Inputs!$B$9</f>
        <v>42000</v>
      </c>
      <c r="I10" s="29" t="n">
        <f aca="false">Inputs!$B$9</f>
        <v>42000</v>
      </c>
      <c r="J10" s="29" t="n">
        <f aca="false">Inputs!$B$9</f>
        <v>42000</v>
      </c>
    </row>
    <row r="11" customFormat="false" ht="15" hidden="false" customHeight="false" outlineLevel="0" collapsed="false">
      <c r="A11" s="6" t="s">
        <v>84</v>
      </c>
      <c r="B11" s="6" t="s">
        <v>149</v>
      </c>
      <c r="C11" s="29" t="n">
        <f aca="false">Inputs!$B$10</f>
        <v>33000</v>
      </c>
      <c r="D11" s="29" t="n">
        <f aca="false">Inputs!$B$10</f>
        <v>33000</v>
      </c>
      <c r="E11" s="29" t="n">
        <f aca="false">Inputs!$B$10</f>
        <v>33000</v>
      </c>
      <c r="F11" s="29" t="n">
        <f aca="false">Inputs!$B$10</f>
        <v>33000</v>
      </c>
      <c r="G11" s="29" t="n">
        <f aca="false">Inputs!$B$10</f>
        <v>33000</v>
      </c>
      <c r="H11" s="29" t="n">
        <f aca="false">Inputs!$B$10</f>
        <v>33000</v>
      </c>
      <c r="I11" s="29" t="n">
        <f aca="false">Inputs!$B$10</f>
        <v>33000</v>
      </c>
      <c r="J11" s="29" t="n">
        <f aca="false">Inputs!$B$10</f>
        <v>33000</v>
      </c>
    </row>
    <row r="12" customFormat="false" ht="15" hidden="false" customHeight="false" outlineLevel="0" collapsed="false">
      <c r="A12" s="6" t="s">
        <v>294</v>
      </c>
      <c r="B12" s="6" t="s">
        <v>76</v>
      </c>
      <c r="C12" s="24" t="n">
        <f aca="false">Inputs!$B$11</f>
        <v>0.72</v>
      </c>
      <c r="D12" s="32" t="n">
        <f aca="false">Driver_Map!$I$5</f>
        <v>0.49968</v>
      </c>
      <c r="E12" s="24" t="n">
        <f aca="false">Inputs!$B$11</f>
        <v>0.72</v>
      </c>
      <c r="F12" s="24" t="n">
        <f aca="false">Inputs!$B$11</f>
        <v>0.72</v>
      </c>
      <c r="G12" s="24" t="n">
        <f aca="false">Inputs!$B$11</f>
        <v>0.72</v>
      </c>
      <c r="H12" s="24" t="n">
        <f aca="false">Inputs!$B$11</f>
        <v>0.72</v>
      </c>
      <c r="I12" s="32" t="n">
        <f aca="false">Driver_Map!$I$5</f>
        <v>0.49968</v>
      </c>
      <c r="J12" s="24" t="n">
        <f aca="false">Inputs!$B$11</f>
        <v>0.72</v>
      </c>
    </row>
    <row r="13" customFormat="false" ht="15" hidden="false" customHeight="false" outlineLevel="0" collapsed="false">
      <c r="A13" s="6" t="s">
        <v>295</v>
      </c>
      <c r="B13" s="6" t="s">
        <v>76</v>
      </c>
      <c r="C13" s="24" t="n">
        <f aca="false">Inputs!$B$12</f>
        <v>0.82</v>
      </c>
      <c r="D13" s="24" t="n">
        <f aca="false">Inputs!$B$12</f>
        <v>0.82</v>
      </c>
      <c r="E13" s="32" t="n">
        <f aca="false">Driver_Map!$I$6</f>
        <v>0.80032</v>
      </c>
      <c r="F13" s="24" t="n">
        <f aca="false">Inputs!$B$12</f>
        <v>0.82</v>
      </c>
      <c r="G13" s="24" t="n">
        <f aca="false">Inputs!$B$12</f>
        <v>0.82</v>
      </c>
      <c r="H13" s="24" t="n">
        <f aca="false">Inputs!$B$12</f>
        <v>0.82</v>
      </c>
      <c r="I13" s="32" t="n">
        <f aca="false">Driver_Map!$I$6</f>
        <v>0.80032</v>
      </c>
      <c r="J13" s="24" t="n">
        <f aca="false">Inputs!$B$12</f>
        <v>0.82</v>
      </c>
    </row>
    <row r="14" customFormat="false" ht="15" hidden="false" customHeight="false" outlineLevel="0" collapsed="false">
      <c r="A14" s="6" t="s">
        <v>91</v>
      </c>
      <c r="B14" s="6" t="s">
        <v>92</v>
      </c>
      <c r="C14" s="13" t="n">
        <f aca="false">Inputs!$B$13</f>
        <v>36</v>
      </c>
      <c r="D14" s="13" t="n">
        <f aca="false">Inputs!$B$13</f>
        <v>36</v>
      </c>
      <c r="E14" s="13" t="n">
        <f aca="false">Inputs!$B$13</f>
        <v>36</v>
      </c>
      <c r="F14" s="13" t="n">
        <f aca="false">Inputs!$B$13</f>
        <v>36</v>
      </c>
      <c r="G14" s="13" t="n">
        <f aca="false">Inputs!$B$13</f>
        <v>36</v>
      </c>
      <c r="H14" s="13" t="n">
        <f aca="false">Inputs!$B$13</f>
        <v>36</v>
      </c>
      <c r="I14" s="13" t="n">
        <f aca="false">Inputs!$B$13</f>
        <v>36</v>
      </c>
      <c r="J14" s="13" t="n">
        <f aca="false">Inputs!$B$13</f>
        <v>36</v>
      </c>
    </row>
    <row r="15" customFormat="false" ht="15" hidden="false" customHeight="false" outlineLevel="0" collapsed="false">
      <c r="A15" s="6" t="s">
        <v>94</v>
      </c>
      <c r="B15" s="6" t="s">
        <v>92</v>
      </c>
      <c r="C15" s="13" t="n">
        <f aca="false">Inputs!$B$14</f>
        <v>24</v>
      </c>
      <c r="D15" s="13" t="n">
        <f aca="false">Inputs!$B$14</f>
        <v>24</v>
      </c>
      <c r="E15" s="13" t="n">
        <f aca="false">Inputs!$B$14</f>
        <v>24</v>
      </c>
      <c r="F15" s="13" t="n">
        <f aca="false">Inputs!$B$14</f>
        <v>24</v>
      </c>
      <c r="G15" s="13" t="n">
        <f aca="false">Inputs!$B$14</f>
        <v>24</v>
      </c>
      <c r="H15" s="13" t="n">
        <f aca="false">Inputs!$B$14</f>
        <v>24</v>
      </c>
      <c r="I15" s="13" t="n">
        <f aca="false">Inputs!$B$14</f>
        <v>24</v>
      </c>
      <c r="J15" s="13" t="n">
        <f aca="false">Inputs!$B$14</f>
        <v>24</v>
      </c>
    </row>
    <row r="16" customFormat="false" ht="15" hidden="false" customHeight="false" outlineLevel="0" collapsed="false">
      <c r="A16" s="6" t="s">
        <v>306</v>
      </c>
      <c r="B16" s="6" t="s">
        <v>149</v>
      </c>
      <c r="C16" s="29" t="n">
        <f aca="false">Inputs!$B$15</f>
        <v>19400</v>
      </c>
      <c r="D16" s="29" t="n">
        <f aca="false">Inputs!$B$15</f>
        <v>19400</v>
      </c>
      <c r="E16" s="29" t="n">
        <f aca="false">Inputs!$B$15</f>
        <v>19400</v>
      </c>
      <c r="F16" s="29" t="n">
        <f aca="false">Inputs!$B$15</f>
        <v>19400</v>
      </c>
      <c r="G16" s="29" t="n">
        <f aca="false">Inputs!$B$15</f>
        <v>19400</v>
      </c>
      <c r="H16" s="29" t="n">
        <f aca="false">Inputs!$B$15</f>
        <v>19400</v>
      </c>
      <c r="I16" s="29" t="n">
        <f aca="false">Inputs!$B$15</f>
        <v>19400</v>
      </c>
      <c r="J16" s="29" t="n">
        <f aca="false">Inputs!$B$15</f>
        <v>19400</v>
      </c>
    </row>
    <row r="17" customFormat="false" ht="15" hidden="false" customHeight="false" outlineLevel="0" collapsed="false">
      <c r="A17" s="6" t="s">
        <v>296</v>
      </c>
      <c r="B17" s="6" t="s">
        <v>76</v>
      </c>
      <c r="C17" s="24" t="n">
        <f aca="false">Inputs!$B$16</f>
        <v>0.034</v>
      </c>
      <c r="D17" s="24" t="n">
        <f aca="false">Inputs!$B$16</f>
        <v>0.034</v>
      </c>
      <c r="E17" s="24" t="n">
        <f aca="false">Inputs!$B$16</f>
        <v>0.034</v>
      </c>
      <c r="F17" s="32" t="n">
        <f aca="false">Driver_Map!$I$7</f>
        <v>0.0562545454545455</v>
      </c>
      <c r="G17" s="24" t="n">
        <f aca="false">Inputs!$B$16</f>
        <v>0.034</v>
      </c>
      <c r="H17" s="24" t="n">
        <f aca="false">Inputs!$B$16</f>
        <v>0.034</v>
      </c>
      <c r="I17" s="32" t="n">
        <f aca="false">Driver_Map!$I$7</f>
        <v>0.0562545454545455</v>
      </c>
      <c r="J17" s="24" t="n">
        <f aca="false">Inputs!$B$16</f>
        <v>0.034</v>
      </c>
    </row>
    <row r="18" customFormat="false" ht="15" hidden="false" customHeight="false" outlineLevel="0" collapsed="false">
      <c r="A18" s="6" t="s">
        <v>260</v>
      </c>
      <c r="B18" s="6" t="s">
        <v>149</v>
      </c>
      <c r="C18" s="28" t="n">
        <f aca="false">Inputs!$B$17</f>
        <v>3.4</v>
      </c>
      <c r="D18" s="28" t="n">
        <f aca="false">Inputs!$B$17</f>
        <v>3.4</v>
      </c>
      <c r="E18" s="28" t="n">
        <f aca="false">Inputs!$B$17</f>
        <v>3.4</v>
      </c>
      <c r="F18" s="28" t="n">
        <f aca="false">Inputs!$B$17</f>
        <v>3.4</v>
      </c>
      <c r="G18" s="28" t="n">
        <f aca="false">Inputs!$B$17</f>
        <v>3.4</v>
      </c>
      <c r="H18" s="28" t="n">
        <f aca="false">Inputs!$B$17</f>
        <v>3.4</v>
      </c>
      <c r="I18" s="28" t="n">
        <f aca="false">Inputs!$B$17</f>
        <v>3.4</v>
      </c>
      <c r="J18" s="28" t="n">
        <f aca="false">Inputs!$B$17</f>
        <v>3.4</v>
      </c>
    </row>
    <row r="19" customFormat="false" ht="15" hidden="false" customHeight="false" outlineLevel="0" collapsed="false">
      <c r="A19" s="6" t="s">
        <v>307</v>
      </c>
      <c r="B19" s="6" t="s">
        <v>149</v>
      </c>
      <c r="C19" s="28" t="n">
        <f aca="false">Inputs!$B$18</f>
        <v>27</v>
      </c>
      <c r="D19" s="28" t="n">
        <f aca="false">Inputs!$B$18</f>
        <v>27</v>
      </c>
      <c r="E19" s="28" t="n">
        <f aca="false">Inputs!$B$18</f>
        <v>27</v>
      </c>
      <c r="F19" s="28" t="n">
        <f aca="false">Inputs!$B$18</f>
        <v>27</v>
      </c>
      <c r="G19" s="28" t="n">
        <f aca="false">Inputs!$B$18</f>
        <v>27</v>
      </c>
      <c r="H19" s="28" t="n">
        <f aca="false">Inputs!$B$18</f>
        <v>27</v>
      </c>
      <c r="I19" s="28" t="n">
        <f aca="false">Inputs!$B$18</f>
        <v>27</v>
      </c>
      <c r="J19" s="28" t="n">
        <f aca="false">Inputs!$B$18</f>
        <v>27</v>
      </c>
    </row>
    <row r="20" customFormat="false" ht="15" hidden="false" customHeight="false" outlineLevel="0" collapsed="false">
      <c r="A20" s="6" t="s">
        <v>104</v>
      </c>
      <c r="B20" s="6" t="s">
        <v>179</v>
      </c>
      <c r="C20" s="18" t="n">
        <f aca="false">Inputs!$B$19</f>
        <v>1600</v>
      </c>
      <c r="D20" s="18" t="n">
        <f aca="false">Inputs!$B$19</f>
        <v>1600</v>
      </c>
      <c r="E20" s="18" t="n">
        <f aca="false">Inputs!$B$19</f>
        <v>1600</v>
      </c>
      <c r="F20" s="18" t="n">
        <f aca="false">Inputs!$B$19</f>
        <v>1600</v>
      </c>
      <c r="G20" s="18" t="n">
        <f aca="false">Inputs!$B$19</f>
        <v>1600</v>
      </c>
      <c r="H20" s="18" t="n">
        <f aca="false">Inputs!$B$19</f>
        <v>1600</v>
      </c>
      <c r="I20" s="18" t="n">
        <f aca="false">Inputs!$B$19</f>
        <v>1600</v>
      </c>
      <c r="J20" s="18" t="n">
        <f aca="false">Inputs!$B$19</f>
        <v>1600</v>
      </c>
    </row>
    <row r="21" customFormat="false" ht="15" hidden="false" customHeight="false" outlineLevel="0" collapsed="false">
      <c r="A21" s="6" t="s">
        <v>297</v>
      </c>
      <c r="B21" s="6" t="s">
        <v>163</v>
      </c>
      <c r="C21" s="26" t="n">
        <f aca="false">Driver_Map!$D$8</f>
        <v>1.2</v>
      </c>
      <c r="D21" s="26" t="n">
        <f aca="false">Driver_Map!$D$8</f>
        <v>1.2</v>
      </c>
      <c r="E21" s="26" t="n">
        <f aca="false">Driver_Map!$D$8</f>
        <v>1.2</v>
      </c>
      <c r="F21" s="26" t="n">
        <f aca="false">Driver_Map!$D$8</f>
        <v>1.2</v>
      </c>
      <c r="G21" s="33" t="n">
        <f aca="false">Driver_Map!$I$8</f>
        <v>1.56</v>
      </c>
      <c r="H21" s="26" t="n">
        <f aca="false">Driver_Map!$D$8</f>
        <v>1.2</v>
      </c>
      <c r="I21" s="33" t="n">
        <f aca="false">Driver_Map!$I$8</f>
        <v>1.56</v>
      </c>
      <c r="J21" s="26" t="n">
        <f aca="false">Driver_Map!$D$8</f>
        <v>1.2</v>
      </c>
    </row>
    <row r="22" customFormat="false" ht="15" hidden="false" customHeight="false" outlineLevel="0" collapsed="false">
      <c r="A22" s="6" t="s">
        <v>308</v>
      </c>
      <c r="B22" s="6" t="s">
        <v>76</v>
      </c>
      <c r="C22" s="27" t="n">
        <f aca="false">Driver_Map!$D$9</f>
        <v>0.015</v>
      </c>
      <c r="D22" s="27" t="n">
        <f aca="false">Driver_Map!$D$9</f>
        <v>0.015</v>
      </c>
      <c r="E22" s="27" t="n">
        <f aca="false">Driver_Map!$D$9</f>
        <v>0.015</v>
      </c>
      <c r="F22" s="27" t="n">
        <f aca="false">Driver_Map!$D$9</f>
        <v>0.015</v>
      </c>
      <c r="G22" s="27" t="n">
        <f aca="false">Driver_Map!$D$9</f>
        <v>0.015</v>
      </c>
      <c r="H22" s="34" t="n">
        <f aca="false">Driver_Map!$I$9</f>
        <v>0.015</v>
      </c>
      <c r="I22" s="34" t="n">
        <f aca="false">Driver_Map!$I$9</f>
        <v>0.015</v>
      </c>
      <c r="J22" s="27" t="n">
        <f aca="false">Driver_Map!$D$9</f>
        <v>0.015</v>
      </c>
    </row>
    <row r="23" customFormat="false" ht="15" hidden="false" customHeight="false" outlineLevel="0" collapsed="false">
      <c r="A23" s="17" t="s">
        <v>309</v>
      </c>
    </row>
    <row r="24" customFormat="false" ht="15" hidden="false" customHeight="false" outlineLevel="0" collapsed="false">
      <c r="A24" s="6" t="s">
        <v>310</v>
      </c>
      <c r="B24" s="6" t="s">
        <v>272</v>
      </c>
      <c r="C24" s="14" t="n">
        <f aca="false">C6*365*C8</f>
        <v>17082000</v>
      </c>
      <c r="D24" s="14" t="n">
        <f aca="false">D6*365*D8</f>
        <v>17082000</v>
      </c>
      <c r="E24" s="14" t="n">
        <f aca="false">E6*365*E8</f>
        <v>17082000</v>
      </c>
      <c r="F24" s="14" t="n">
        <f aca="false">F6*365*F8</f>
        <v>17082000</v>
      </c>
      <c r="G24" s="14" t="n">
        <f aca="false">G6*365*G8</f>
        <v>17082000</v>
      </c>
      <c r="H24" s="14" t="n">
        <f aca="false">H6*365*H8</f>
        <v>17082000</v>
      </c>
      <c r="I24" s="14" t="n">
        <f aca="false">I6*365*I8</f>
        <v>17082000</v>
      </c>
      <c r="J24" s="14" t="n">
        <f aca="false">J6*365*J8</f>
        <v>17082000</v>
      </c>
    </row>
    <row r="25" customFormat="false" ht="15" hidden="false" customHeight="false" outlineLevel="0" collapsed="false">
      <c r="A25" s="6" t="s">
        <v>311</v>
      </c>
      <c r="B25" s="6" t="s">
        <v>272</v>
      </c>
      <c r="C25" s="14" t="n">
        <f aca="false">C7*365*C8</f>
        <v>139503000</v>
      </c>
      <c r="D25" s="14" t="n">
        <f aca="false">D7*365*D8</f>
        <v>139503000</v>
      </c>
      <c r="E25" s="14" t="n">
        <f aca="false">E7*365*E8</f>
        <v>139503000</v>
      </c>
      <c r="F25" s="14" t="n">
        <f aca="false">F7*365*F8</f>
        <v>139503000</v>
      </c>
      <c r="G25" s="14" t="n">
        <f aca="false">G7*365*G8</f>
        <v>139503000</v>
      </c>
      <c r="H25" s="14" t="n">
        <f aca="false">H7*365*H8</f>
        <v>139503000</v>
      </c>
      <c r="I25" s="14" t="n">
        <f aca="false">I7*365*I8</f>
        <v>139503000</v>
      </c>
      <c r="J25" s="14" t="n">
        <f aca="false">J7*365*J8</f>
        <v>139503000</v>
      </c>
    </row>
    <row r="26" customFormat="false" ht="15" hidden="false" customHeight="false" outlineLevel="0" collapsed="false">
      <c r="A26" s="6" t="s">
        <v>312</v>
      </c>
      <c r="B26" s="6" t="s">
        <v>179</v>
      </c>
      <c r="C26" s="15" t="n">
        <f aca="false">(C24+C25)*C9/1000000</f>
        <v>9551.685</v>
      </c>
      <c r="D26" s="15" t="n">
        <f aca="false">(D24+D25)*D9/1000000</f>
        <v>9551.685</v>
      </c>
      <c r="E26" s="15" t="n">
        <f aca="false">(E24+E25)*E9/1000000</f>
        <v>9551.685</v>
      </c>
      <c r="F26" s="15" t="n">
        <f aca="false">(F24+F25)*F9/1000000</f>
        <v>9551.685</v>
      </c>
      <c r="G26" s="15" t="n">
        <f aca="false">(G24+G25)*G9/1000000</f>
        <v>9551.685</v>
      </c>
      <c r="H26" s="15" t="n">
        <f aca="false">(H24+H25)*H9/1000000</f>
        <v>9551.685</v>
      </c>
      <c r="I26" s="15" t="n">
        <f aca="false">(I24+I25)*I9/1000000</f>
        <v>9551.685</v>
      </c>
      <c r="J26" s="15" t="n">
        <f aca="false">(J24+J25)*J9/1000000</f>
        <v>9096.02265</v>
      </c>
    </row>
    <row r="27" customFormat="false" ht="15" hidden="false" customHeight="false" outlineLevel="0" collapsed="false">
      <c r="A27" s="6" t="s">
        <v>313</v>
      </c>
      <c r="B27" s="6" t="s">
        <v>179</v>
      </c>
      <c r="C27" s="15" t="n">
        <f aca="false">C10*(1-C12)/C14*C6*12/1000000</f>
        <v>235.2</v>
      </c>
      <c r="D27" s="15" t="n">
        <f aca="false">D10*(1-D12)/D14*D6*12/1000000</f>
        <v>420.2688</v>
      </c>
      <c r="E27" s="15" t="n">
        <f aca="false">E10*(1-E12)/E14*E6*12/1000000</f>
        <v>235.2</v>
      </c>
      <c r="F27" s="15" t="n">
        <f aca="false">F10*(1-F12)/F14*F6*12/1000000</f>
        <v>235.2</v>
      </c>
      <c r="G27" s="15" t="n">
        <f aca="false">G10*(1-G12)/G14*G6*12/1000000</f>
        <v>235.2</v>
      </c>
      <c r="H27" s="15" t="n">
        <f aca="false">H10*(1-H12)/H14*H6*12/1000000</f>
        <v>235.2</v>
      </c>
      <c r="I27" s="15" t="n">
        <f aca="false">I10*(1-I12)/I14*I6*12/1000000</f>
        <v>420.2688</v>
      </c>
      <c r="J27" s="15" t="n">
        <f aca="false">J10*(1-J12)/J14*J6*12/1000000</f>
        <v>235.2</v>
      </c>
    </row>
    <row r="28" customFormat="false" ht="15" hidden="false" customHeight="false" outlineLevel="0" collapsed="false">
      <c r="A28" s="6" t="s">
        <v>314</v>
      </c>
      <c r="B28" s="6" t="s">
        <v>179</v>
      </c>
      <c r="C28" s="15" t="n">
        <f aca="false">C11*(1-C13)/C15*C7*12/1000000</f>
        <v>1455.3</v>
      </c>
      <c r="D28" s="15" t="n">
        <f aca="false">D11*(1-D13)/D15*D7*12/1000000</f>
        <v>1455.3</v>
      </c>
      <c r="E28" s="15" t="n">
        <f aca="false">E11*(1-E13)/E15*E7*12/1000000</f>
        <v>1614.4128</v>
      </c>
      <c r="F28" s="15" t="n">
        <f aca="false">F11*(1-F13)/F15*F7*12/1000000</f>
        <v>1455.3</v>
      </c>
      <c r="G28" s="15" t="n">
        <f aca="false">G11*(1-G13)/G15*G7*12/1000000</f>
        <v>1455.3</v>
      </c>
      <c r="H28" s="15" t="n">
        <f aca="false">H11*(1-H13)/H15*H7*12/1000000</f>
        <v>1455.3</v>
      </c>
      <c r="I28" s="15" t="n">
        <f aca="false">I11*(1-I13)/I15*I7*12/1000000</f>
        <v>1614.4128</v>
      </c>
      <c r="J28" s="15" t="n">
        <f aca="false">J11*(1-J13)/J15*J7*12/1000000</f>
        <v>1455.3</v>
      </c>
    </row>
    <row r="29" customFormat="false" ht="15" hidden="false" customHeight="false" outlineLevel="0" collapsed="false">
      <c r="A29" s="6" t="s">
        <v>315</v>
      </c>
      <c r="B29" s="6" t="s">
        <v>179</v>
      </c>
      <c r="C29" s="15" t="n">
        <f aca="false">(C6+C7)*C16*C17/1000000</f>
        <v>362.78</v>
      </c>
      <c r="D29" s="15" t="n">
        <f aca="false">(D6+D7)*D16*D17/1000000</f>
        <v>362.78</v>
      </c>
      <c r="E29" s="15" t="n">
        <f aca="false">(E6+E7)*E16*E17/1000000</f>
        <v>362.78</v>
      </c>
      <c r="F29" s="15" t="n">
        <f aca="false">(F6+F7)*F16*F17/1000000</f>
        <v>600.236</v>
      </c>
      <c r="G29" s="15" t="n">
        <f aca="false">(G6+G7)*G16*G17/1000000</f>
        <v>362.78</v>
      </c>
      <c r="H29" s="15" t="n">
        <f aca="false">(H6+H7)*H16*H17/1000000</f>
        <v>362.78</v>
      </c>
      <c r="I29" s="15" t="n">
        <f aca="false">(I6+I7)*I16*I17/1000000</f>
        <v>600.236</v>
      </c>
      <c r="J29" s="15" t="n">
        <f aca="false">(J6+J7)*J16*J17/1000000</f>
        <v>362.78</v>
      </c>
    </row>
    <row r="30" customFormat="false" ht="15" hidden="false" customHeight="false" outlineLevel="0" collapsed="false">
      <c r="A30" s="6" t="s">
        <v>316</v>
      </c>
      <c r="B30" s="6" t="s">
        <v>179</v>
      </c>
      <c r="C30" s="15" t="n">
        <f aca="false">(C24*C21+C25)*C18/1000000</f>
        <v>544.00476</v>
      </c>
      <c r="D30" s="15" t="n">
        <f aca="false">(D24*D21+D25)*D18/1000000</f>
        <v>544.00476</v>
      </c>
      <c r="E30" s="15" t="n">
        <f aca="false">(E24*E21+E25)*E18/1000000</f>
        <v>544.00476</v>
      </c>
      <c r="F30" s="15" t="n">
        <f aca="false">(F24*F21+F25)*F18/1000000</f>
        <v>544.00476</v>
      </c>
      <c r="G30" s="15" t="n">
        <f aca="false">(G24*G21+G25)*G18/1000000</f>
        <v>564.913128</v>
      </c>
      <c r="H30" s="15" t="n">
        <f aca="false">(H24*H21+H25)*H18/1000000</f>
        <v>544.00476</v>
      </c>
      <c r="I30" s="15" t="n">
        <f aca="false">(I24*I21+I25)*I18/1000000</f>
        <v>564.913128</v>
      </c>
      <c r="J30" s="15" t="n">
        <f aca="false">(J24*J21+J25)*J18/1000000</f>
        <v>544.00476</v>
      </c>
    </row>
    <row r="31" customFormat="false" ht="15" hidden="false" customHeight="false" outlineLevel="0" collapsed="false">
      <c r="A31" s="6" t="s">
        <v>317</v>
      </c>
      <c r="B31" s="6" t="s">
        <v>179</v>
      </c>
      <c r="C31" s="15" t="n">
        <f aca="false">(C24+C25)*C19/1000000</f>
        <v>4227.795</v>
      </c>
      <c r="D31" s="15" t="n">
        <f aca="false">(D24+D25)*D19/1000000</f>
        <v>4227.795</v>
      </c>
      <c r="E31" s="15" t="n">
        <f aca="false">(E24+E25)*E19/1000000</f>
        <v>4227.795</v>
      </c>
      <c r="F31" s="15" t="n">
        <f aca="false">(F24+F25)*F19/1000000</f>
        <v>4227.795</v>
      </c>
      <c r="G31" s="15" t="n">
        <f aca="false">(G24+G25)*G19/1000000</f>
        <v>4227.795</v>
      </c>
      <c r="H31" s="15" t="n">
        <f aca="false">(H24+H25)*H19/1000000</f>
        <v>4227.795</v>
      </c>
      <c r="I31" s="15" t="n">
        <f aca="false">(I24+I25)*I19/1000000</f>
        <v>4227.795</v>
      </c>
      <c r="J31" s="15" t="n">
        <f aca="false">(J24+J25)*J19/1000000</f>
        <v>4227.795</v>
      </c>
    </row>
    <row r="32" customFormat="false" ht="15" hidden="false" customHeight="false" outlineLevel="0" collapsed="false">
      <c r="A32" s="6" t="s">
        <v>318</v>
      </c>
      <c r="B32" s="6" t="s">
        <v>179</v>
      </c>
      <c r="C32" s="15" t="n">
        <f aca="false">(C6*12/C14*C10*C12+C7*12/C15*C11*C13)*C22/1000000</f>
        <v>108.5175</v>
      </c>
      <c r="D32" s="15" t="n">
        <f aca="false">(D6*12/D14*D10*D12+D7*12/D15*D11*D13)*D22/1000000</f>
        <v>105.741468</v>
      </c>
      <c r="E32" s="15" t="n">
        <f aca="false">(E6*12/E14*E10*E12+E7*12/E15*E11*E13)*E22/1000000</f>
        <v>106.130808</v>
      </c>
      <c r="F32" s="15" t="n">
        <f aca="false">(F6*12/F14*F10*F12+F7*12/F15*F11*F13)*F22/1000000</f>
        <v>108.5175</v>
      </c>
      <c r="G32" s="15" t="n">
        <f aca="false">(G6*12/G14*G10*G12+G7*12/G15*G11*G13)*G22/1000000</f>
        <v>108.5175</v>
      </c>
      <c r="H32" s="15" t="n">
        <f aca="false">(H6*12/H14*H10*H12+H7*12/H15*H11*H13)*H22/1000000</f>
        <v>108.5175</v>
      </c>
      <c r="I32" s="15" t="n">
        <f aca="false">(I6*12/I14*I10*I12+I7*12/I15*I11*I13)*I22/1000000</f>
        <v>103.354776</v>
      </c>
      <c r="J32" s="15" t="n">
        <f aca="false">(J6*12/J14*J10*J12+J7*12/J15*J11*J13)*J22/1000000</f>
        <v>108.5175</v>
      </c>
    </row>
    <row r="33" customFormat="false" ht="15" hidden="false" customHeight="false" outlineLevel="0" collapsed="false">
      <c r="A33" s="6" t="s">
        <v>104</v>
      </c>
      <c r="B33" s="6" t="s">
        <v>179</v>
      </c>
      <c r="C33" s="15" t="n">
        <f aca="false">C20</f>
        <v>1600</v>
      </c>
      <c r="D33" s="15" t="n">
        <f aca="false">D20</f>
        <v>1600</v>
      </c>
      <c r="E33" s="15" t="n">
        <f aca="false">E20</f>
        <v>1600</v>
      </c>
      <c r="F33" s="15" t="n">
        <f aca="false">F20</f>
        <v>1600</v>
      </c>
      <c r="G33" s="15" t="n">
        <f aca="false">G20</f>
        <v>1600</v>
      </c>
      <c r="H33" s="15" t="n">
        <f aca="false">H20</f>
        <v>1600</v>
      </c>
      <c r="I33" s="15" t="n">
        <f aca="false">I20</f>
        <v>1600</v>
      </c>
      <c r="J33" s="15" t="n">
        <f aca="false">J20</f>
        <v>1600</v>
      </c>
    </row>
    <row r="34" customFormat="false" ht="15" hidden="false" customHeight="false" outlineLevel="0" collapsed="false">
      <c r="A34" s="17" t="s">
        <v>319</v>
      </c>
      <c r="B34" s="6" t="s">
        <v>179</v>
      </c>
      <c r="C34" s="30" t="n">
        <f aca="false">C26-C27-C28-C29-C30-C31-C32-C33</f>
        <v>1018.08774</v>
      </c>
      <c r="D34" s="30" t="n">
        <f aca="false">D26-D27-D28-D29-D30-D31-D32-D33</f>
        <v>835.794972</v>
      </c>
      <c r="E34" s="30" t="n">
        <f aca="false">E26-E27-E28-E29-E30-E31-E32-E33</f>
        <v>861.361631999998</v>
      </c>
      <c r="F34" s="30" t="n">
        <f aca="false">F26-F27-F28-F29-F30-F31-F32-F33</f>
        <v>780.631739999999</v>
      </c>
      <c r="G34" s="30" t="n">
        <f aca="false">G26-G27-G28-G29-G30-G31-G32-G33</f>
        <v>997.179371999999</v>
      </c>
      <c r="H34" s="30" t="n">
        <f aca="false">H26-H27-H28-H29-H30-H31-H32-H33</f>
        <v>1018.08774</v>
      </c>
      <c r="I34" s="30" t="n">
        <f aca="false">I26-I27-I28-I29-I30-I31-I32-I33</f>
        <v>420.704495999999</v>
      </c>
      <c r="J34" s="30" t="n">
        <f aca="false">J26-J27-J28-J29-J30-J31-J32-J33</f>
        <v>562.42539</v>
      </c>
    </row>
    <row r="35" customFormat="false" ht="15" hidden="false" customHeight="false" outlineLevel="0" collapsed="false">
      <c r="A35" s="17" t="s">
        <v>320</v>
      </c>
      <c r="B35" s="6" t="s">
        <v>179</v>
      </c>
      <c r="C35" s="30" t="n">
        <f aca="false">C34-$C$34</f>
        <v>0</v>
      </c>
      <c r="D35" s="30" t="n">
        <f aca="false">D34-$C$34</f>
        <v>-182.292767999999</v>
      </c>
      <c r="E35" s="30" t="n">
        <f aca="false">E34-$C$34</f>
        <v>-156.726108000001</v>
      </c>
      <c r="F35" s="30" t="n">
        <f aca="false">F34-$C$34</f>
        <v>-237.456</v>
      </c>
      <c r="G35" s="30" t="n">
        <f aca="false">G34-$C$34</f>
        <v>-20.9083680000003</v>
      </c>
      <c r="H35" s="30" t="n">
        <f aca="false">H34-$C$34</f>
        <v>0</v>
      </c>
      <c r="I35" s="30" t="n">
        <f aca="false">I34-$C$34</f>
        <v>-597.383244</v>
      </c>
      <c r="J35" s="30" t="n">
        <f aca="false">J34-$C$34</f>
        <v>-455.662349999999</v>
      </c>
    </row>
    <row r="37" customFormat="false" ht="15" hidden="false" customHeight="false" outlineLevel="0" collapsed="false">
      <c r="A37" s="6" t="s">
        <v>321</v>
      </c>
      <c r="C37" s="35" t="n">
        <f aca="false">ROUND(C34-Fleet_Model!D16,6)</f>
        <v>0</v>
      </c>
    </row>
    <row r="38" customFormat="false" ht="15" hidden="false" customHeight="false" outlineLevel="0" collapsed="false">
      <c r="A38" s="6" t="s">
        <v>322</v>
      </c>
      <c r="C38" s="35" t="n">
        <f aca="false">ROUND(D35+E35+F35+G35+H35-I35,6)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10"/>
    <col collapsed="false" customWidth="true" hidden="false" outlineLevel="0" max="4" min="4" style="0" width="80"/>
  </cols>
  <sheetData>
    <row r="1" customFormat="false" ht="17.35" hidden="false" customHeight="false" outlineLevel="0" collapsed="false">
      <c r="A1" s="1" t="s">
        <v>323</v>
      </c>
    </row>
    <row r="2" customFormat="false" ht="15" hidden="false" customHeight="false" outlineLevel="0" collapsed="false">
      <c r="A2" s="5" t="s">
        <v>324</v>
      </c>
    </row>
    <row r="4" customFormat="false" ht="15" hidden="false" customHeight="false" outlineLevel="0" collapsed="false">
      <c r="A4" s="4" t="s">
        <v>325</v>
      </c>
      <c r="B4" s="4" t="s">
        <v>67</v>
      </c>
      <c r="C4" s="4" t="s">
        <v>68</v>
      </c>
      <c r="D4" s="4" t="s">
        <v>326</v>
      </c>
    </row>
    <row r="5" customFormat="false" ht="15" hidden="false" customHeight="false" outlineLevel="0" collapsed="false">
      <c r="A5" s="6" t="s">
        <v>327</v>
      </c>
      <c r="B5" s="7" t="n">
        <v>20000</v>
      </c>
      <c r="C5" s="6" t="s">
        <v>176</v>
      </c>
      <c r="D5" s="5" t="s">
        <v>328</v>
      </c>
    </row>
    <row r="6" customFormat="false" ht="15" hidden="false" customHeight="false" outlineLevel="0" collapsed="false">
      <c r="A6" s="6" t="s">
        <v>329</v>
      </c>
      <c r="B6" s="12" t="n">
        <v>787</v>
      </c>
      <c r="C6" s="6" t="s">
        <v>179</v>
      </c>
      <c r="D6" s="5" t="s">
        <v>330</v>
      </c>
    </row>
    <row r="7" customFormat="false" ht="15" hidden="false" customHeight="false" outlineLevel="0" collapsed="false">
      <c r="A7" s="6" t="s">
        <v>331</v>
      </c>
      <c r="B7" s="12" t="n">
        <v>245</v>
      </c>
      <c r="C7" s="6" t="s">
        <v>179</v>
      </c>
      <c r="D7" s="5" t="s">
        <v>332</v>
      </c>
    </row>
    <row r="8" customFormat="false" ht="15" hidden="false" customHeight="false" outlineLevel="0" collapsed="false">
      <c r="A8" s="6" t="s">
        <v>333</v>
      </c>
      <c r="B8" s="12" t="n">
        <v>542</v>
      </c>
      <c r="C8" s="6" t="s">
        <v>179</v>
      </c>
      <c r="D8" s="5" t="s">
        <v>334</v>
      </c>
    </row>
    <row r="9" customFormat="false" ht="15" hidden="false" customHeight="false" outlineLevel="0" collapsed="false">
      <c r="A9" s="6" t="s">
        <v>335</v>
      </c>
      <c r="B9" s="29" t="n">
        <f aca="false">Driver_Map!D11</f>
        <v>42000</v>
      </c>
      <c r="C9" s="6" t="s">
        <v>82</v>
      </c>
      <c r="D9" s="5" t="s">
        <v>336</v>
      </c>
    </row>
    <row r="10" customFormat="false" ht="15" hidden="false" customHeight="false" outlineLevel="0" collapsed="false">
      <c r="A10" s="6" t="s">
        <v>337</v>
      </c>
      <c r="B10" s="36" t="n">
        <f aca="false">B6*1000000/B5</f>
        <v>39350</v>
      </c>
      <c r="C10" s="6" t="s">
        <v>82</v>
      </c>
      <c r="D10" s="5" t="s">
        <v>338</v>
      </c>
    </row>
    <row r="11" customFormat="false" ht="15" hidden="false" customHeight="false" outlineLevel="0" collapsed="false">
      <c r="A11" s="6" t="s">
        <v>339</v>
      </c>
      <c r="B11" s="36" t="n">
        <f aca="false">B8*1000000/B5</f>
        <v>27100</v>
      </c>
      <c r="C11" s="6" t="s">
        <v>82</v>
      </c>
      <c r="D11" s="5" t="s">
        <v>338</v>
      </c>
    </row>
    <row r="12" customFormat="false" ht="15" hidden="false" customHeight="false" outlineLevel="0" collapsed="false">
      <c r="A12" s="6" t="s">
        <v>340</v>
      </c>
      <c r="B12" s="36" t="n">
        <f aca="false">B10-B11</f>
        <v>12250</v>
      </c>
      <c r="C12" s="6" t="s">
        <v>82</v>
      </c>
      <c r="D12" s="5" t="s">
        <v>338</v>
      </c>
    </row>
    <row r="13" customFormat="false" ht="15" hidden="false" customHeight="false" outlineLevel="0" collapsed="false">
      <c r="A13" s="6" t="s">
        <v>341</v>
      </c>
      <c r="B13" s="19" t="n">
        <f aca="false">B11/B9</f>
        <v>0.645238095238095</v>
      </c>
      <c r="C13" s="6" t="s">
        <v>76</v>
      </c>
      <c r="D13" s="5" t="s">
        <v>342</v>
      </c>
    </row>
    <row r="14" customFormat="false" ht="15" hidden="false" customHeight="false" outlineLevel="0" collapsed="false">
      <c r="A14" s="6" t="s">
        <v>343</v>
      </c>
      <c r="B14" s="35" t="n">
        <f aca="false">ROUND(B6-B8-B7,6)</f>
        <v>0</v>
      </c>
      <c r="C14" s="6" t="s">
        <v>179</v>
      </c>
      <c r="D14" s="5" t="s">
        <v>344</v>
      </c>
    </row>
    <row r="16" customFormat="false" ht="15" hidden="false" customHeight="false" outlineLevel="0" collapsed="false">
      <c r="A16" s="6" t="s">
        <v>345</v>
      </c>
      <c r="B16" s="29" t="n">
        <f aca="false">Market_Data!B26</f>
        <v>498</v>
      </c>
      <c r="C16" s="6" t="s">
        <v>149</v>
      </c>
      <c r="D16" s="5" t="s">
        <v>346</v>
      </c>
    </row>
    <row r="17" customFormat="false" ht="15" hidden="false" customHeight="false" outlineLevel="0" collapsed="false">
      <c r="A17" s="6" t="s">
        <v>347</v>
      </c>
      <c r="B17" s="29" t="n">
        <f aca="false">Market_Data!B27</f>
        <v>350</v>
      </c>
      <c r="C17" s="6" t="s">
        <v>149</v>
      </c>
      <c r="D17" s="5" t="s">
        <v>348</v>
      </c>
    </row>
    <row r="18" customFormat="false" ht="15" hidden="false" customHeight="false" outlineLevel="0" collapsed="false">
      <c r="A18" s="6" t="s">
        <v>349</v>
      </c>
      <c r="B18" s="36" t="n">
        <f aca="false">B16-B17</f>
        <v>148</v>
      </c>
      <c r="C18" s="6" t="s">
        <v>149</v>
      </c>
      <c r="D18" s="5" t="s">
        <v>338</v>
      </c>
    </row>
    <row r="19" customFormat="false" ht="15" hidden="false" customHeight="false" outlineLevel="0" collapsed="false">
      <c r="A19" s="6" t="s">
        <v>350</v>
      </c>
      <c r="B19" s="14" t="n">
        <f aca="false">B7*1000000/(B18*3)</f>
        <v>551801.801801802</v>
      </c>
      <c r="C19" s="6" t="s">
        <v>176</v>
      </c>
      <c r="D19" s="5"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2026-10-10T20:21:13Z</dcterms:created>
  <dc:creator>openpyxl</dc:creator>
  <dc:description/>
  <dc:language>en-US</dc:language>
  <cp:lastModifiedBy/>
  <dcterms:modified xsi:type="dcterms:W3CDTF">2026-10-10T20:21:13Z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