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sheetId="2" r:id="rId6"/>
    <sheet name="Assumptions" sheetId="3" r:id="rId7"/>
    <sheet name="P&amp;L" sheetId="4" r:id="rId8"/>
    <sheet name="DCF" sheetId="5" r:id="rId9"/>
  </sheets>
</workbook>
</file>

<file path=xl/sharedStrings.xml><?xml version="1.0" encoding="utf-8"?>
<sst xmlns="http://schemas.openxmlformats.org/spreadsheetml/2006/main" uniqueCount="181">
  <si>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</si>
  <si>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</si>
  <si>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</si>
  <si>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</si>
  <si>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t>
  </si>
  <si>
    <t>Table 1</t>
  </si>
  <si>
    <t>Ridgeline Homes, Inc.</t>
  </si>
  <si>
    <t>Five-year operating model and DCF valuation</t>
  </si>
  <si>
    <t>Model date</t>
  </si>
  <si>
    <t>Market inputs as of</t>
  </si>
  <si>
    <t>Close of 31-Oct-2025</t>
  </si>
  <si>
    <t>Prepared by</t>
  </si>
  <si>
    <t>FP&amp;A / Corporate Development</t>
  </si>
  <si>
    <t>Version</t>
  </si>
  <si>
    <t>v1 - board pre-read, November 2025</t>
  </si>
  <si>
    <t>Currency / units</t>
  </si>
  <si>
    <t>US$ millions unless noted</t>
  </si>
  <si>
    <t>Fiscal year</t>
  </si>
  <si>
    <t>Calendar year (FY2025 = Jan-Dec 2025)</t>
  </si>
  <si>
    <t>Business</t>
  </si>
  <si>
    <t>US homebuilder selling entry-level and move-up single-family homes in the Southeast and Texas. Uses mortgage-rate buydowns as its main sales incentive.</t>
  </si>
  <si>
    <t>Tabs</t>
  </si>
  <si>
    <t>Assumptions</t>
  </si>
  <si>
    <t>Operating, market, policy and financing inputs</t>
  </si>
  <si>
    <t>P&amp;L</t>
  </si>
  <si>
    <t>Revenue build, operating costs, EBITDA, interest, net income</t>
  </si>
  <si>
    <t>DCF</t>
  </si>
  <si>
    <t>WACC, unlevered free cash flow, NPV / enterprise and equity value</t>
  </si>
  <si>
    <t>Colour legend</t>
  </si>
  <si>
    <t>1,234</t>
  </si>
  <si>
    <t>Hardcoded input</t>
  </si>
  <si>
    <t>Formula</t>
  </si>
  <si>
    <t>Link to another tab</t>
  </si>
  <si>
    <t>Key output</t>
  </si>
  <si>
    <t>Ridgeline Homes, Inc. - Assumptions</t>
  </si>
  <si>
    <t>Model date 1-Nov-2025. Market inputs at close of 31-Oct-2025. US$ millions unless noted.</t>
  </si>
  <si>
    <t>Volumes and pricing</t>
  </si>
  <si>
    <t>Value</t>
  </si>
  <si>
    <t>Unit</t>
  </si>
  <si>
    <t>Source / note</t>
  </si>
  <si>
    <t>FY2024A home sales revenue</t>
  </si>
  <si>
    <t>$mm</t>
  </si>
  <si>
    <t>FY2024 audited financial statements</t>
  </si>
  <si>
    <t>Home closings, FY2025E</t>
  </si>
  <si>
    <t>homes</t>
  </si>
  <si>
    <t>2025 community count and absorption plan</t>
  </si>
  <si>
    <t>Average selling price, FY2025E</t>
  </si>
  <si>
    <t>$000</t>
  </si>
  <si>
    <t>2025 base price list</t>
  </si>
  <si>
    <t>Land and development cost, % of ASP</t>
  </si>
  <si>
    <t>%</t>
  </si>
  <si>
    <t>Owned and optioned lot pipeline</t>
  </si>
  <si>
    <t>Direct construction cost per home</t>
  </si>
  <si>
    <t>2025 trade contracts</t>
  </si>
  <si>
    <t>SG&amp;A, % of revenue</t>
  </si>
  <si>
    <t>FY2024A run-rate</t>
  </si>
  <si>
    <t>D&amp;A, % of revenue</t>
  </si>
  <si>
    <t>Capex, % of revenue</t>
  </si>
  <si>
    <t>Model homes and IT</t>
  </si>
  <si>
    <t>Net working capital (inventory less payables), % of revenue</t>
  </si>
  <si>
    <t>FY2024A actual</t>
  </si>
  <si>
    <t>Market and policy inputs (close of 31-Oct-2025)</t>
  </si>
  <si>
    <t>30-year fixed mortgage rate</t>
  </si>
  <si>
    <t>Freddie Mac PMMS, FRED series MORTGAGE30US, week of 30-Oct-2025</t>
  </si>
  <si>
    <t>Bank prime loan rate</t>
  </si>
  <si>
    <t>FRED series DPRIME, 31-Oct-2025</t>
  </si>
  <si>
    <t>Conforming loan limit, one-unit baseline</t>
  </si>
  <si>
    <t>$</t>
  </si>
  <si>
    <t>FHFA 2025 conforming loan limit</t>
  </si>
  <si>
    <t>US federal corporate income tax rate</t>
  </si>
  <si>
    <t>IRC section 11(b)</t>
  </si>
  <si>
    <t>Buydown incentive program</t>
  </si>
  <si>
    <t>Buydown target rate offered to buyers</t>
  </si>
  <si>
    <t>Ridgeline Advantage program, October 2025</t>
  </si>
  <si>
    <t>Cost of a 100bp buydown, % of loan</t>
  </si>
  <si>
    <t>Affiliated lender quote</t>
  </si>
  <si>
    <t>Average buyer loan-to-value</t>
  </si>
  <si>
    <t>FY2024A buyer average</t>
  </si>
  <si>
    <t>Financing</t>
  </si>
  <si>
    <t>Land acquisition and development loans</t>
  </si>
  <si>
    <t>A&amp;D facility at prime + margin; balance held flat</t>
  </si>
  <si>
    <t>A&amp;D facility margin over prime</t>
  </si>
  <si>
    <t>A&amp;D facility agreement</t>
  </si>
  <si>
    <t>Revolving credit facility, drawn</t>
  </si>
  <si>
    <t>SOFR + margin; balance held flat</t>
  </si>
  <si>
    <t>Revolver margin over SOFR</t>
  </si>
  <si>
    <t>Credit agreement</t>
  </si>
  <si>
    <t>Senior notes due 2031</t>
  </si>
  <si>
    <t>Fixed coupon</t>
  </si>
  <si>
    <t>Senior notes coupon</t>
  </si>
  <si>
    <t>Indenture</t>
  </si>
  <si>
    <t>Cash, 31-Oct-2025</t>
  </si>
  <si>
    <t>Management accounts</t>
  </si>
  <si>
    <t>Growth</t>
  </si>
  <si>
    <t>FY2025E</t>
  </si>
  <si>
    <t>FY2026E</t>
  </si>
  <si>
    <t>FY2027E</t>
  </si>
  <si>
    <t>FY2028E</t>
  </si>
  <si>
    <t>FY2029E</t>
  </si>
  <si>
    <t>Closings growth, year on year</t>
  </si>
  <si>
    <t>Community count plan</t>
  </si>
  <si>
    <t>ASP growth, year on year</t>
  </si>
  <si>
    <t>Pricing plan</t>
  </si>
  <si>
    <t>Ridgeline Homes, Inc. - Income Statement</t>
  </si>
  <si>
    <t>FY2024A</t>
  </si>
  <si>
    <t>Closings growth</t>
  </si>
  <si>
    <t>ASP growth</t>
  </si>
  <si>
    <t>Home closings</t>
  </si>
  <si>
    <t>Average selling price ($000)</t>
  </si>
  <si>
    <t>Gross home sales revenue</t>
  </si>
  <si>
    <t>Buydown incentive, % of revenue</t>
  </si>
  <si>
    <t>Less: mortgage buydown incentives</t>
  </si>
  <si>
    <t>Net home sales revenue</t>
  </si>
  <si>
    <t>Cost of sales</t>
  </si>
  <si>
    <t>Land and development</t>
  </si>
  <si>
    <t>Direct construction</t>
  </si>
  <si>
    <t>Total cost of sales</t>
  </si>
  <si>
    <t>Gross profit</t>
  </si>
  <si>
    <t xml:space="preserve">   Gross margin</t>
  </si>
  <si>
    <t>SG&amp;A</t>
  </si>
  <si>
    <t>EBITDA</t>
  </si>
  <si>
    <t xml:space="preserve">   EBITDA margin</t>
  </si>
  <si>
    <t>Depreciation and amortization</t>
  </si>
  <si>
    <t>EBIT</t>
  </si>
  <si>
    <t>Mortgage eligibility check</t>
  </si>
  <si>
    <t>Highest price financeable within conforming limit ($000)</t>
  </si>
  <si>
    <t>ASP within conforming limit?</t>
  </si>
  <si>
    <t>Yes</t>
  </si>
  <si>
    <t>Interest, A&amp;D loans (prime + margin)</t>
  </si>
  <si>
    <t>Interest, revolver (SOFR + margin)</t>
  </si>
  <si>
    <t>Interest, senior notes</t>
  </si>
  <si>
    <t>Interest expense</t>
  </si>
  <si>
    <t>Blended cost of debt</t>
  </si>
  <si>
    <t>Pre-tax income</t>
  </si>
  <si>
    <t>Income tax</t>
  </si>
  <si>
    <t>Net income</t>
  </si>
  <si>
    <t>Ridgeline Homes, Inc. - DCF Valuation</t>
  </si>
  <si>
    <t>US$ millions unless noted. Unlevered free cash flow, end-of-period discounting.</t>
  </si>
  <si>
    <t>Discount rate (WACC)</t>
  </si>
  <si>
    <t>Valuation date</t>
  </si>
  <si>
    <t>Risk-free rate (10-year US Treasury)</t>
  </si>
  <si>
    <t>FRED series DGS10, 31-Oct-2025</t>
  </si>
  <si>
    <t>Equity risk premium</t>
  </si>
  <si>
    <t>House view</t>
  </si>
  <si>
    <t>Levered beta</t>
  </si>
  <si>
    <t>Median of US homebuilder peers, 2-year weekly</t>
  </si>
  <si>
    <t>Size premium</t>
  </si>
  <si>
    <t>Cost of equity</t>
  </si>
  <si>
    <t>CAPM + size premium</t>
  </si>
  <si>
    <t>Pre-tax cost of debt</t>
  </si>
  <si>
    <t>Blended cost of debt, FY2025E</t>
  </si>
  <si>
    <t>Tax rate</t>
  </si>
  <si>
    <t>After-tax cost of debt</t>
  </si>
  <si>
    <t>Target debt / total capital</t>
  </si>
  <si>
    <t>Board-approved capital structure</t>
  </si>
  <si>
    <t>WACC</t>
  </si>
  <si>
    <t>Terminal growth rate</t>
  </si>
  <si>
    <t>House view, long-run nominal growth</t>
  </si>
  <si>
    <t>Unlevered free cash flow</t>
  </si>
  <si>
    <t>Fiscal year end</t>
  </si>
  <si>
    <t>Less: depreciation and amortization</t>
  </si>
  <si>
    <t>Less: taxes on EBIT</t>
  </si>
  <si>
    <t>Add back: depreciation and amortization</t>
  </si>
  <si>
    <t>Less: capex</t>
  </si>
  <si>
    <t>Less: increase in net working capital</t>
  </si>
  <si>
    <t>Share of year after valuation date</t>
  </si>
  <si>
    <t>Free cash flow to discount</t>
  </si>
  <si>
    <t>Discount period (years)</t>
  </si>
  <si>
    <t>Discount factor</t>
  </si>
  <si>
    <t>Present value of free cash flow</t>
  </si>
  <si>
    <t>Valuation</t>
  </si>
  <si>
    <t>Sum of PV of free cash flow, FY2025E-FY2029E</t>
  </si>
  <si>
    <t>Terminal value at end of FY2029E (Gordon growth)</t>
  </si>
  <si>
    <t>PV of terminal value</t>
  </si>
  <si>
    <t>Enterprise value (NPV)</t>
  </si>
  <si>
    <t>Less: debt outstanding</t>
  </si>
  <si>
    <t>A&amp;D loans + revolver + senior notes</t>
  </si>
  <si>
    <t>Add: cash</t>
  </si>
  <si>
    <t>Equity value</t>
  </si>
  <si>
    <t>Implied EV / FY2025E EBITDA</t>
  </si>
  <si>
    <t>Terminal value share of enterprise value</t>
  </si>
</sst>
</file>

<file path=xl/styles.xml><?xml version="1.0" encoding="utf-8"?>
<styleSheet xmlns="http://schemas.openxmlformats.org/spreadsheetml/2006/main">
  <numFmts count="9">
    <numFmt numFmtId="0" formatCode="General"/>
    <numFmt numFmtId="59" formatCode="d-mmm-yyyy"/>
    <numFmt numFmtId="60" formatCode="#,##0.0;(#,##0.0);&quot;–&quot;"/>
    <numFmt numFmtId="61" formatCode="#,##0;(#,##0);&quot;–&quot;"/>
    <numFmt numFmtId="62" formatCode="0.0%;(0.0%);&quot;–&quot;"/>
    <numFmt numFmtId="63" formatCode="0.00%;(0.00%);&quot;–&quot;"/>
    <numFmt numFmtId="64" formatCode="&quot;$&quot;#,##0"/>
    <numFmt numFmtId="65" formatCode="0.0000"/>
    <numFmt numFmtId="66" formatCode="0.0&quot;x&quot;"/>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Arial"/>
    </font>
    <font>
      <i val="1"/>
      <sz val="10"/>
      <color indexed="13"/>
      <name val="Arial"/>
    </font>
    <font>
      <b val="1"/>
      <sz val="10"/>
      <color indexed="8"/>
      <name val="Arial"/>
    </font>
    <font>
      <sz val="10"/>
      <color indexed="8"/>
      <name val="Arial"/>
    </font>
    <font>
      <sz val="10"/>
      <color indexed="11"/>
      <name val="Arial"/>
    </font>
    <font>
      <sz val="10"/>
      <color indexed="15"/>
      <name val="Arial"/>
    </font>
    <font>
      <b val="1"/>
      <sz val="10"/>
      <color indexed="14"/>
      <name val="Arial"/>
    </font>
    <font>
      <i val="1"/>
      <sz val="9"/>
      <color indexed="13"/>
      <name val="Arial"/>
    </font>
    <font>
      <b val="1"/>
      <sz val="10"/>
      <color indexed="15"/>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19">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top style="thin">
        <color indexed="8"/>
      </top>
      <bottom style="thin">
        <color indexed="12"/>
      </bottom>
      <diagonal/>
    </border>
    <border>
      <left/>
      <right/>
      <top style="thin">
        <color indexed="8"/>
      </top>
      <bottom style="thin">
        <color indexed="12"/>
      </bottom>
      <diagonal/>
    </border>
    <border>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9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59" fontId="9" borderId="5" applyNumberFormat="1" applyFont="1" applyFill="0" applyBorder="1" applyAlignment="1" applyProtection="0">
      <alignment horizontal="left" vertical="bottom"/>
    </xf>
    <xf numFmtId="49" fontId="9" borderId="5" applyNumberFormat="1" applyFont="1" applyFill="0" applyBorder="1" applyAlignment="1" applyProtection="0">
      <alignment horizontal="left" vertical="bottom"/>
    </xf>
    <xf numFmtId="49" fontId="9" fillId="4" borderId="5" applyNumberFormat="1" applyFont="1" applyFill="1" applyBorder="1" applyAlignment="1" applyProtection="0">
      <alignment vertical="top" wrapText="1"/>
    </xf>
    <xf numFmtId="49" fontId="9"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9" fillId="5" borderId="8" applyNumberFormat="0" applyFont="1" applyFill="1" applyBorder="1" applyAlignment="1" applyProtection="0">
      <alignment vertical="bottom"/>
    </xf>
    <xf numFmtId="49" fontId="9"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7" borderId="4" applyNumberFormat="1" applyFont="1" applyFill="0" applyBorder="1" applyAlignment="1" applyProtection="0">
      <alignment vertical="bottom"/>
    </xf>
    <xf numFmtId="49" fontId="12" fillId="6" borderId="4" applyNumberFormat="1" applyFont="1" applyFill="1" applyBorder="1" applyAlignment="1" applyProtection="0">
      <alignment vertical="bottom"/>
    </xf>
    <xf numFmtId="49" fontId="12" fillId="6" borderId="5" applyNumberFormat="1" applyFont="1" applyFill="1" applyBorder="1" applyAlignment="1" applyProtection="0">
      <alignment vertical="bottom"/>
    </xf>
    <xf numFmtId="0" fontId="0" fillId="6" borderId="5" applyNumberFormat="0" applyFont="1" applyFill="1" applyBorder="1" applyAlignment="1" applyProtection="0">
      <alignment vertical="bottom"/>
    </xf>
    <xf numFmtId="49" fontId="12" fillId="6" borderId="6" applyNumberFormat="1" applyFont="1" applyFill="1" applyBorder="1" applyAlignment="1" applyProtection="0">
      <alignment vertical="bottom"/>
    </xf>
    <xf numFmtId="49" fontId="9" borderId="4" applyNumberFormat="1" applyFont="1" applyFill="0" applyBorder="1" applyAlignment="1" applyProtection="0">
      <alignment vertical="bottom"/>
    </xf>
    <xf numFmtId="60" fontId="10" borderId="5" applyNumberFormat="1" applyFont="1" applyFill="0" applyBorder="1" applyAlignment="1" applyProtection="0">
      <alignment vertical="bottom"/>
    </xf>
    <xf numFmtId="49" fontId="13" borderId="6" applyNumberFormat="1" applyFont="1" applyFill="0" applyBorder="1" applyAlignment="1" applyProtection="0">
      <alignment vertical="bottom"/>
    </xf>
    <xf numFmtId="61" fontId="10" borderId="5" applyNumberFormat="1" applyFont="1" applyFill="0" applyBorder="1" applyAlignment="1" applyProtection="0">
      <alignment vertical="bottom"/>
    </xf>
    <xf numFmtId="62" fontId="10" borderId="5" applyNumberFormat="1" applyFont="1" applyFill="0" applyBorder="1" applyAlignment="1" applyProtection="0">
      <alignment vertical="bottom"/>
    </xf>
    <xf numFmtId="0" fontId="0" fillId="6" borderId="6" applyNumberFormat="0" applyFont="1" applyFill="1" applyBorder="1" applyAlignment="1" applyProtection="0">
      <alignment vertical="bottom"/>
    </xf>
    <xf numFmtId="63" fontId="10" borderId="5" applyNumberFormat="1" applyFont="1" applyFill="0" applyBorder="1" applyAlignment="1" applyProtection="0">
      <alignment vertical="bottom"/>
    </xf>
    <xf numFmtId="64" fontId="10" borderId="5" applyNumberFormat="1" applyFont="1" applyFill="0" applyBorder="1" applyAlignment="1" applyProtection="0">
      <alignment vertical="bottom"/>
    </xf>
    <xf numFmtId="49" fontId="12" fillId="6" borderId="5" applyNumberFormat="1" applyFont="1" applyFill="1" applyBorder="1" applyAlignment="1" applyProtection="0">
      <alignment horizontal="right" vertical="bottom"/>
    </xf>
    <xf numFmtId="49" fontId="9" borderId="7" applyNumberFormat="1" applyFont="1" applyFill="0" applyBorder="1" applyAlignment="1" applyProtection="0">
      <alignment vertical="bottom"/>
    </xf>
    <xf numFmtId="62" fontId="10" borderId="8" applyNumberFormat="1" applyFont="1" applyFill="0" applyBorder="1" applyAlignment="1" applyProtection="0">
      <alignment vertical="bottom"/>
    </xf>
    <xf numFmtId="49" fontId="13" borderId="9" applyNumberFormat="1" applyFont="1" applyFill="0" applyBorder="1" applyAlignment="1" applyProtection="0">
      <alignment vertical="bottom"/>
    </xf>
    <xf numFmtId="0" fontId="0" applyNumberFormat="1" applyFont="1" applyFill="0" applyBorder="0" applyAlignment="1" applyProtection="0">
      <alignment vertical="bottom"/>
    </xf>
    <xf numFmtId="0" fontId="12" fillId="6" borderId="4" applyNumberFormat="0" applyFont="1" applyFill="1" applyBorder="1" applyAlignment="1" applyProtection="0">
      <alignment vertical="bottom"/>
    </xf>
    <xf numFmtId="49" fontId="12" fillId="6" borderId="6" applyNumberFormat="1" applyFont="1" applyFill="1" applyBorder="1" applyAlignment="1" applyProtection="0">
      <alignment horizontal="right" vertical="bottom"/>
    </xf>
    <xf numFmtId="62" fontId="11" borderId="5" applyNumberFormat="1" applyFont="1" applyFill="0" applyBorder="1" applyAlignment="1" applyProtection="0">
      <alignment vertical="bottom"/>
    </xf>
    <xf numFmtId="62" fontId="11" borderId="6" applyNumberFormat="1" applyFont="1" applyFill="0" applyBorder="1" applyAlignment="1" applyProtection="0">
      <alignment vertical="bottom"/>
    </xf>
    <xf numFmtId="61" fontId="9" borderId="5" applyNumberFormat="1" applyFont="1" applyFill="0" applyBorder="1" applyAlignment="1" applyProtection="0">
      <alignment vertical="bottom"/>
    </xf>
    <xf numFmtId="61" fontId="9" borderId="6" applyNumberFormat="1" applyFont="1" applyFill="0" applyBorder="1" applyAlignment="1" applyProtection="0">
      <alignment vertical="bottom"/>
    </xf>
    <xf numFmtId="60" fontId="9" borderId="5" applyNumberFormat="1" applyFont="1" applyFill="0" applyBorder="1" applyAlignment="1" applyProtection="0">
      <alignment vertical="bottom"/>
    </xf>
    <xf numFmtId="60" fontId="9" borderId="6" applyNumberFormat="1" applyFont="1" applyFill="0" applyBorder="1" applyAlignment="1" applyProtection="0">
      <alignment vertical="bottom"/>
    </xf>
    <xf numFmtId="63" fontId="9" borderId="5" applyNumberFormat="1" applyFont="1" applyFill="0" applyBorder="1" applyAlignment="1" applyProtection="0">
      <alignment vertical="bottom"/>
    </xf>
    <xf numFmtId="63" fontId="9" borderId="6" applyNumberFormat="1" applyFont="1" applyFill="0" applyBorder="1" applyAlignment="1" applyProtection="0">
      <alignment vertical="bottom"/>
    </xf>
    <xf numFmtId="49" fontId="9" borderId="10" applyNumberFormat="1" applyFont="1" applyFill="0" applyBorder="1" applyAlignment="1" applyProtection="0">
      <alignment vertical="bottom"/>
    </xf>
    <xf numFmtId="60" fontId="9" borderId="11" applyNumberFormat="1" applyFont="1" applyFill="0" applyBorder="1" applyAlignment="1" applyProtection="0">
      <alignment vertical="bottom"/>
    </xf>
    <xf numFmtId="60" fontId="9" borderId="12" applyNumberFormat="1" applyFont="1" applyFill="0" applyBorder="1" applyAlignment="1" applyProtection="0">
      <alignment vertical="bottom"/>
    </xf>
    <xf numFmtId="49" fontId="8" borderId="13" applyNumberFormat="1" applyFont="1" applyFill="0" applyBorder="1" applyAlignment="1" applyProtection="0">
      <alignment vertical="bottom"/>
    </xf>
    <xf numFmtId="60" fontId="14" borderId="5" applyNumberFormat="1" applyFont="1" applyFill="0" applyBorder="1" applyAlignment="1" applyProtection="0">
      <alignment vertical="bottom"/>
    </xf>
    <xf numFmtId="60" fontId="8" borderId="14" applyNumberFormat="1" applyFont="1" applyFill="0" applyBorder="1" applyAlignment="1" applyProtection="0">
      <alignment vertical="bottom"/>
    </xf>
    <xf numFmtId="60" fontId="8" borderId="15" applyNumberFormat="1" applyFont="1" applyFill="0" applyBorder="1" applyAlignment="1" applyProtection="0">
      <alignment vertical="bottom"/>
    </xf>
    <xf numFmtId="49" fontId="8" borderId="4" applyNumberFormat="1" applyFont="1" applyFill="0" applyBorder="1" applyAlignment="1" applyProtection="0">
      <alignment vertical="bottom"/>
    </xf>
    <xf numFmtId="49" fontId="9" borderId="13" applyNumberFormat="1" applyFont="1" applyFill="0" applyBorder="1" applyAlignment="1" applyProtection="0">
      <alignment vertical="bottom"/>
    </xf>
    <xf numFmtId="60" fontId="9" borderId="14" applyNumberFormat="1" applyFont="1" applyFill="0" applyBorder="1" applyAlignment="1" applyProtection="0">
      <alignment vertical="bottom"/>
    </xf>
    <xf numFmtId="60" fontId="9" borderId="15" applyNumberFormat="1" applyFont="1" applyFill="0" applyBorder="1" applyAlignment="1" applyProtection="0">
      <alignment vertical="bottom"/>
    </xf>
    <xf numFmtId="60" fontId="8" borderId="5" applyNumberFormat="1" applyFont="1" applyFill="0" applyBorder="1" applyAlignment="1" applyProtection="0">
      <alignment vertical="bottom"/>
    </xf>
    <xf numFmtId="60" fontId="8" borderId="6" applyNumberFormat="1" applyFont="1" applyFill="0" applyBorder="1" applyAlignment="1" applyProtection="0">
      <alignment vertical="bottom"/>
    </xf>
    <xf numFmtId="62" fontId="9" borderId="5" applyNumberFormat="1" applyFont="1" applyFill="0" applyBorder="1" applyAlignment="1" applyProtection="0">
      <alignment vertical="bottom"/>
    </xf>
    <xf numFmtId="62" fontId="9" borderId="6" applyNumberFormat="1" applyFont="1" applyFill="0" applyBorder="1" applyAlignment="1" applyProtection="0">
      <alignment vertical="bottom"/>
    </xf>
    <xf numFmtId="60" fontId="8" fillId="5" borderId="14" applyNumberFormat="1" applyFont="1" applyFill="1" applyBorder="1" applyAlignment="1" applyProtection="0">
      <alignment vertical="bottom"/>
    </xf>
    <xf numFmtId="60" fontId="8" fillId="5" borderId="15" applyNumberFormat="1" applyFont="1" applyFill="1" applyBorder="1" applyAlignment="1" applyProtection="0">
      <alignment vertical="bottom"/>
    </xf>
    <xf numFmtId="0" fontId="9" borderId="5" applyNumberFormat="0" applyFont="1" applyFill="0" applyBorder="1" applyAlignment="1" applyProtection="0">
      <alignment vertical="bottom"/>
    </xf>
    <xf numFmtId="0" fontId="9" borderId="6" applyNumberFormat="0" applyFont="1" applyFill="0" applyBorder="1" applyAlignment="1" applyProtection="0">
      <alignment vertical="bottom"/>
    </xf>
    <xf numFmtId="63" fontId="9" borderId="11" applyNumberFormat="1" applyFont="1" applyFill="0" applyBorder="1" applyAlignment="1" applyProtection="0">
      <alignment vertical="bottom"/>
    </xf>
    <xf numFmtId="63" fontId="9" borderId="12" applyNumberFormat="1" applyFont="1" applyFill="0" applyBorder="1" applyAlignment="1" applyProtection="0">
      <alignment vertical="bottom"/>
    </xf>
    <xf numFmtId="49" fontId="8" borderId="16" applyNumberFormat="1" applyFont="1" applyFill="0" applyBorder="1" applyAlignment="1" applyProtection="0">
      <alignment vertical="bottom"/>
    </xf>
    <xf numFmtId="60" fontId="8" borderId="17" applyNumberFormat="1" applyFont="1" applyFill="0" applyBorder="1" applyAlignment="1" applyProtection="0">
      <alignment vertical="bottom"/>
    </xf>
    <xf numFmtId="60" fontId="8" borderId="18" applyNumberFormat="1" applyFont="1" applyFill="0" applyBorder="1" applyAlignment="1" applyProtection="0">
      <alignment vertical="bottom"/>
    </xf>
    <xf numFmtId="0" fontId="0" applyNumberFormat="1" applyFont="1" applyFill="0" applyBorder="0" applyAlignment="1" applyProtection="0">
      <alignment vertical="bottom"/>
    </xf>
    <xf numFmtId="59" fontId="9" borderId="5" applyNumberFormat="1" applyFont="1" applyFill="0" applyBorder="1" applyAlignment="1" applyProtection="0">
      <alignment vertical="bottom"/>
    </xf>
    <xf numFmtId="2" fontId="10" borderId="5" applyNumberFormat="1" applyFont="1" applyFill="0" applyBorder="1" applyAlignment="1" applyProtection="0">
      <alignment vertical="bottom"/>
    </xf>
    <xf numFmtId="63" fontId="11" borderId="5" applyNumberFormat="1" applyFont="1" applyFill="0" applyBorder="1" applyAlignment="1" applyProtection="0">
      <alignment vertical="bottom"/>
    </xf>
    <xf numFmtId="0" fontId="13" borderId="6" applyNumberFormat="0" applyFont="1" applyFill="0" applyBorder="1" applyAlignment="1" applyProtection="0">
      <alignment vertical="bottom"/>
    </xf>
    <xf numFmtId="63" fontId="8" borderId="5" applyNumberFormat="1" applyFont="1" applyFill="0" applyBorder="1" applyAlignment="1" applyProtection="0">
      <alignment vertical="bottom"/>
    </xf>
    <xf numFmtId="60" fontId="11" borderId="5" applyNumberFormat="1" applyFont="1" applyFill="0" applyBorder="1" applyAlignment="1" applyProtection="0">
      <alignment vertical="bottom"/>
    </xf>
    <xf numFmtId="60" fontId="11" borderId="11" applyNumberFormat="1" applyFont="1" applyFill="0" applyBorder="1" applyAlignment="1" applyProtection="0">
      <alignment vertical="bottom"/>
    </xf>
    <xf numFmtId="2" fontId="9" borderId="5" applyNumberFormat="1" applyFont="1" applyFill="0" applyBorder="1" applyAlignment="1" applyProtection="0">
      <alignment vertical="bottom"/>
    </xf>
    <xf numFmtId="65" fontId="9" borderId="5" applyNumberFormat="1" applyFont="1" applyFill="0" applyBorder="1" applyAlignment="1" applyProtection="0">
      <alignment vertical="bottom"/>
    </xf>
    <xf numFmtId="60" fontId="8" fillId="5" borderId="5" applyNumberFormat="1" applyFont="1" applyFill="1" applyBorder="1" applyAlignment="1" applyProtection="0">
      <alignment vertical="bottom"/>
    </xf>
    <xf numFmtId="66" fontId="11" borderId="5" applyNumberFormat="1" applyFont="1" applyFill="0" applyBorder="1" applyAlignment="1" applyProtection="0">
      <alignment vertical="bottom"/>
    </xf>
    <xf numFmtId="62" fontId="9" borderId="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595959"/>
      <rgbColor rgb="ffffffff"/>
      <rgbColor rgb="ff008000"/>
      <rgbColor rgb="ffffff00"/>
      <rgbColor rgb="ff1f386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2.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3" style="6" customWidth="1"/>
    <col min="2" max="2" width="28" style="6" customWidth="1"/>
    <col min="3" max="3" width="72" style="6" customWidth="1"/>
    <col min="4" max="5" width="8.85156" style="6" customWidth="1"/>
    <col min="6" max="16384" width="8.85156" style="6" customWidth="1"/>
  </cols>
  <sheetData>
    <row r="1" ht="13.55" customHeight="1">
      <c r="A1" s="7"/>
      <c r="B1" s="8"/>
      <c r="C1" s="8"/>
      <c r="D1" s="8"/>
      <c r="E1" s="9"/>
    </row>
    <row r="2" ht="18.5" customHeight="1">
      <c r="A2" s="10"/>
      <c r="B2" t="s" s="11">
        <v>6</v>
      </c>
      <c r="C2" s="12"/>
      <c r="D2" s="12"/>
      <c r="E2" s="13"/>
    </row>
    <row r="3" ht="13.65" customHeight="1">
      <c r="A3" s="10"/>
      <c r="B3" t="s" s="14">
        <v>7</v>
      </c>
      <c r="C3" s="12"/>
      <c r="D3" s="12"/>
      <c r="E3" s="13"/>
    </row>
    <row r="4" ht="13.55" customHeight="1">
      <c r="A4" s="10"/>
      <c r="B4" s="12"/>
      <c r="C4" s="12"/>
      <c r="D4" s="12"/>
      <c r="E4" s="13"/>
    </row>
    <row r="5" ht="13.65" customHeight="1">
      <c r="A5" s="10"/>
      <c r="B5" t="s" s="15">
        <v>8</v>
      </c>
      <c r="C5" s="16">
        <v>45962</v>
      </c>
      <c r="D5" s="12"/>
      <c r="E5" s="13"/>
    </row>
    <row r="6" ht="13.65" customHeight="1">
      <c r="A6" s="10"/>
      <c r="B6" t="s" s="15">
        <v>9</v>
      </c>
      <c r="C6" t="s" s="17">
        <v>10</v>
      </c>
      <c r="D6" s="12"/>
      <c r="E6" s="13"/>
    </row>
    <row r="7" ht="13.65" customHeight="1">
      <c r="A7" s="10"/>
      <c r="B7" t="s" s="15">
        <v>11</v>
      </c>
      <c r="C7" t="s" s="17">
        <v>12</v>
      </c>
      <c r="D7" s="12"/>
      <c r="E7" s="13"/>
    </row>
    <row r="8" ht="13.65" customHeight="1">
      <c r="A8" s="10"/>
      <c r="B8" t="s" s="15">
        <v>13</v>
      </c>
      <c r="C8" t="s" s="17">
        <v>14</v>
      </c>
      <c r="D8" s="12"/>
      <c r="E8" s="13"/>
    </row>
    <row r="9" ht="13.65" customHeight="1">
      <c r="A9" s="10"/>
      <c r="B9" t="s" s="15">
        <v>15</v>
      </c>
      <c r="C9" t="s" s="17">
        <v>16</v>
      </c>
      <c r="D9" s="12"/>
      <c r="E9" s="13"/>
    </row>
    <row r="10" ht="13.65" customHeight="1">
      <c r="A10" s="10"/>
      <c r="B10" t="s" s="15">
        <v>17</v>
      </c>
      <c r="C10" t="s" s="17">
        <v>18</v>
      </c>
      <c r="D10" s="12"/>
      <c r="E10" s="13"/>
    </row>
    <row r="11" ht="13.55" customHeight="1">
      <c r="A11" s="10"/>
      <c r="B11" s="12"/>
      <c r="C11" s="12"/>
      <c r="D11" s="12"/>
      <c r="E11" s="13"/>
    </row>
    <row r="12" ht="42" customHeight="1">
      <c r="A12" s="10"/>
      <c r="B12" t="s" s="15">
        <v>19</v>
      </c>
      <c r="C12" t="s" s="18">
        <v>20</v>
      </c>
      <c r="D12" s="12"/>
      <c r="E12" s="13"/>
    </row>
    <row r="13" ht="13.55" customHeight="1">
      <c r="A13" s="10"/>
      <c r="B13" s="12"/>
      <c r="C13" s="12"/>
      <c r="D13" s="12"/>
      <c r="E13" s="13"/>
    </row>
    <row r="14" ht="13.65" customHeight="1">
      <c r="A14" s="10"/>
      <c r="B14" t="s" s="15">
        <v>21</v>
      </c>
      <c r="C14" s="12"/>
      <c r="D14" s="12"/>
      <c r="E14" s="13"/>
    </row>
    <row r="15" ht="13.65" customHeight="1">
      <c r="A15" s="10"/>
      <c r="B15" t="s" s="19">
        <v>22</v>
      </c>
      <c r="C15" t="s" s="19">
        <v>23</v>
      </c>
      <c r="D15" s="12"/>
      <c r="E15" s="13"/>
    </row>
    <row r="16" ht="13.65" customHeight="1">
      <c r="A16" s="10"/>
      <c r="B16" t="s" s="19">
        <v>24</v>
      </c>
      <c r="C16" t="s" s="19">
        <v>25</v>
      </c>
      <c r="D16" s="12"/>
      <c r="E16" s="13"/>
    </row>
    <row r="17" ht="13.65" customHeight="1">
      <c r="A17" s="10"/>
      <c r="B17" t="s" s="19">
        <v>26</v>
      </c>
      <c r="C17" t="s" s="19">
        <v>27</v>
      </c>
      <c r="D17" s="12"/>
      <c r="E17" s="13"/>
    </row>
    <row r="18" ht="13.55" customHeight="1">
      <c r="A18" s="10"/>
      <c r="B18" s="12"/>
      <c r="C18" s="12"/>
      <c r="D18" s="12"/>
      <c r="E18" s="13"/>
    </row>
    <row r="19" ht="13.65" customHeight="1">
      <c r="A19" s="10"/>
      <c r="B19" t="s" s="15">
        <v>28</v>
      </c>
      <c r="C19" s="12"/>
      <c r="D19" s="12"/>
      <c r="E19" s="13"/>
    </row>
    <row r="20" ht="13.65" customHeight="1">
      <c r="A20" s="10"/>
      <c r="B20" t="s" s="20">
        <v>29</v>
      </c>
      <c r="C20" t="s" s="19">
        <v>30</v>
      </c>
      <c r="D20" s="12"/>
      <c r="E20" s="13"/>
    </row>
    <row r="21" ht="13.65" customHeight="1">
      <c r="A21" s="10"/>
      <c r="B21" t="s" s="19">
        <v>29</v>
      </c>
      <c r="C21" t="s" s="19">
        <v>31</v>
      </c>
      <c r="D21" s="12"/>
      <c r="E21" s="13"/>
    </row>
    <row r="22" ht="13.65" customHeight="1">
      <c r="A22" s="10"/>
      <c r="B22" t="s" s="21">
        <v>29</v>
      </c>
      <c r="C22" t="s" s="19">
        <v>32</v>
      </c>
      <c r="D22" s="12"/>
      <c r="E22" s="13"/>
    </row>
    <row r="23" ht="13.65" customHeight="1">
      <c r="A23" s="22"/>
      <c r="B23" s="23"/>
      <c r="C23" t="s" s="24">
        <v>33</v>
      </c>
      <c r="D23" s="25"/>
      <c r="E2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7"/>
  <sheetViews>
    <sheetView workbookViewId="0" showGridLines="0" defaultGridColor="1"/>
  </sheetViews>
  <sheetFormatPr defaultColWidth="8.83333" defaultRowHeight="15" customHeight="1" outlineLevelRow="0" outlineLevelCol="0"/>
  <cols>
    <col min="1" max="1" width="54" style="27" customWidth="1"/>
    <col min="2" max="2" width="12" style="27" customWidth="1"/>
    <col min="3" max="3" width="14" style="27" customWidth="1"/>
    <col min="4" max="6" width="12" style="27" customWidth="1"/>
    <col min="7" max="7" width="8.85156" style="27" customWidth="1"/>
    <col min="8" max="8" width="74" style="27" customWidth="1"/>
    <col min="9" max="16384" width="8.85156" style="27" customWidth="1"/>
  </cols>
  <sheetData>
    <row r="1" ht="18.5" customHeight="1">
      <c r="A1" t="s" s="28">
        <v>34</v>
      </c>
      <c r="B1" s="8"/>
      <c r="C1" s="8"/>
      <c r="D1" s="8"/>
      <c r="E1" s="8"/>
      <c r="F1" s="8"/>
      <c r="G1" s="8"/>
      <c r="H1" s="9"/>
    </row>
    <row r="2" ht="13.65" customHeight="1">
      <c r="A2" t="s" s="29">
        <v>35</v>
      </c>
      <c r="B2" s="12"/>
      <c r="C2" s="12"/>
      <c r="D2" s="12"/>
      <c r="E2" s="12"/>
      <c r="F2" s="12"/>
      <c r="G2" s="12"/>
      <c r="H2" s="13"/>
    </row>
    <row r="3" ht="13.55" customHeight="1">
      <c r="A3" s="10"/>
      <c r="B3" s="12"/>
      <c r="C3" s="12"/>
      <c r="D3" s="12"/>
      <c r="E3" s="12"/>
      <c r="F3" s="12"/>
      <c r="G3" s="12"/>
      <c r="H3" s="13"/>
    </row>
    <row r="4" ht="13.65" customHeight="1">
      <c r="A4" t="s" s="30">
        <v>36</v>
      </c>
      <c r="B4" t="s" s="31">
        <v>37</v>
      </c>
      <c r="C4" t="s" s="31">
        <v>38</v>
      </c>
      <c r="D4" s="32"/>
      <c r="E4" s="32"/>
      <c r="F4" s="32"/>
      <c r="G4" s="32"/>
      <c r="H4" t="s" s="33">
        <v>39</v>
      </c>
    </row>
    <row r="5" ht="13.65" customHeight="1">
      <c r="A5" t="s" s="34">
        <v>40</v>
      </c>
      <c r="B5" s="35">
        <v>2760</v>
      </c>
      <c r="C5" t="s" s="19">
        <v>41</v>
      </c>
      <c r="D5" s="12"/>
      <c r="E5" s="12"/>
      <c r="F5" s="12"/>
      <c r="G5" s="12"/>
      <c r="H5" t="s" s="36">
        <v>42</v>
      </c>
    </row>
    <row r="6" ht="13.65" customHeight="1">
      <c r="A6" t="s" s="34">
        <v>43</v>
      </c>
      <c r="B6" s="37">
        <v>6050</v>
      </c>
      <c r="C6" t="s" s="19">
        <v>44</v>
      </c>
      <c r="D6" s="12"/>
      <c r="E6" s="12"/>
      <c r="F6" s="12"/>
      <c r="G6" s="12"/>
      <c r="H6" t="s" s="36">
        <v>45</v>
      </c>
    </row>
    <row r="7" ht="13.65" customHeight="1">
      <c r="A7" t="s" s="34">
        <v>46</v>
      </c>
      <c r="B7" s="35">
        <v>478</v>
      </c>
      <c r="C7" t="s" s="19">
        <v>47</v>
      </c>
      <c r="D7" s="12"/>
      <c r="E7" s="12"/>
      <c r="F7" s="12"/>
      <c r="G7" s="12"/>
      <c r="H7" t="s" s="36">
        <v>48</v>
      </c>
    </row>
    <row r="8" ht="13.65" customHeight="1">
      <c r="A8" t="s" s="34">
        <v>49</v>
      </c>
      <c r="B8" s="38">
        <v>0.24</v>
      </c>
      <c r="C8" t="s" s="19">
        <v>50</v>
      </c>
      <c r="D8" s="12"/>
      <c r="E8" s="12"/>
      <c r="F8" s="12"/>
      <c r="G8" s="12"/>
      <c r="H8" t="s" s="36">
        <v>51</v>
      </c>
    </row>
    <row r="9" ht="13.65" customHeight="1">
      <c r="A9" t="s" s="34">
        <v>52</v>
      </c>
      <c r="B9" s="35">
        <v>212</v>
      </c>
      <c r="C9" t="s" s="19">
        <v>47</v>
      </c>
      <c r="D9" s="12"/>
      <c r="E9" s="12"/>
      <c r="F9" s="12"/>
      <c r="G9" s="12"/>
      <c r="H9" t="s" s="36">
        <v>53</v>
      </c>
    </row>
    <row r="10" ht="13.65" customHeight="1">
      <c r="A10" t="s" s="34">
        <v>54</v>
      </c>
      <c r="B10" s="38">
        <v>0.095</v>
      </c>
      <c r="C10" t="s" s="19">
        <v>50</v>
      </c>
      <c r="D10" s="12"/>
      <c r="E10" s="12"/>
      <c r="F10" s="12"/>
      <c r="G10" s="12"/>
      <c r="H10" t="s" s="36">
        <v>55</v>
      </c>
    </row>
    <row r="11" ht="13.65" customHeight="1">
      <c r="A11" t="s" s="34">
        <v>56</v>
      </c>
      <c r="B11" s="38">
        <v>0.008</v>
      </c>
      <c r="C11" t="s" s="19">
        <v>50</v>
      </c>
      <c r="D11" s="12"/>
      <c r="E11" s="12"/>
      <c r="F11" s="12"/>
      <c r="G11" s="12"/>
      <c r="H11" t="s" s="36">
        <v>55</v>
      </c>
    </row>
    <row r="12" ht="13.65" customHeight="1">
      <c r="A12" t="s" s="34">
        <v>57</v>
      </c>
      <c r="B12" s="38">
        <v>0.007</v>
      </c>
      <c r="C12" t="s" s="19">
        <v>50</v>
      </c>
      <c r="D12" s="12"/>
      <c r="E12" s="12"/>
      <c r="F12" s="12"/>
      <c r="G12" s="12"/>
      <c r="H12" t="s" s="36">
        <v>58</v>
      </c>
    </row>
    <row r="13" ht="13.65" customHeight="1">
      <c r="A13" t="s" s="34">
        <v>59</v>
      </c>
      <c r="B13" s="38">
        <v>0.7</v>
      </c>
      <c r="C13" t="s" s="19">
        <v>50</v>
      </c>
      <c r="D13" s="12"/>
      <c r="E13" s="12"/>
      <c r="F13" s="12"/>
      <c r="G13" s="12"/>
      <c r="H13" t="s" s="36">
        <v>60</v>
      </c>
    </row>
    <row r="14" ht="13.55" customHeight="1">
      <c r="A14" s="10"/>
      <c r="B14" s="12"/>
      <c r="C14" s="12"/>
      <c r="D14" s="12"/>
      <c r="E14" s="12"/>
      <c r="F14" s="12"/>
      <c r="G14" s="12"/>
      <c r="H14" s="13"/>
    </row>
    <row r="15" ht="13.65" customHeight="1">
      <c r="A15" t="s" s="30">
        <v>61</v>
      </c>
      <c r="B15" s="32"/>
      <c r="C15" s="32"/>
      <c r="D15" s="32"/>
      <c r="E15" s="32"/>
      <c r="F15" s="32"/>
      <c r="G15" s="32"/>
      <c r="H15" s="39"/>
    </row>
    <row r="16" ht="13.65" customHeight="1">
      <c r="A16" t="s" s="34">
        <v>62</v>
      </c>
      <c r="B16" s="40">
        <v>0.0617</v>
      </c>
      <c r="C16" t="s" s="19">
        <v>50</v>
      </c>
      <c r="D16" s="12"/>
      <c r="E16" s="12"/>
      <c r="F16" s="12"/>
      <c r="G16" s="12"/>
      <c r="H16" t="s" s="36">
        <v>63</v>
      </c>
    </row>
    <row r="17" ht="13.65" customHeight="1">
      <c r="A17" t="s" s="34">
        <v>64</v>
      </c>
      <c r="B17" s="40">
        <v>0.07000000000000001</v>
      </c>
      <c r="C17" t="s" s="19">
        <v>50</v>
      </c>
      <c r="D17" s="12"/>
      <c r="E17" s="12"/>
      <c r="F17" s="12"/>
      <c r="G17" s="12"/>
      <c r="H17" t="s" s="36">
        <v>65</v>
      </c>
    </row>
    <row r="18" ht="13.65" customHeight="1">
      <c r="A18" t="s" s="34">
        <v>66</v>
      </c>
      <c r="B18" s="41">
        <v>806500</v>
      </c>
      <c r="C18" t="s" s="19">
        <v>67</v>
      </c>
      <c r="D18" s="12"/>
      <c r="E18" s="12"/>
      <c r="F18" s="12"/>
      <c r="G18" s="12"/>
      <c r="H18" t="s" s="36">
        <v>68</v>
      </c>
    </row>
    <row r="19" ht="13.65" customHeight="1">
      <c r="A19" t="s" s="34">
        <v>69</v>
      </c>
      <c r="B19" s="38">
        <v>0.21</v>
      </c>
      <c r="C19" t="s" s="19">
        <v>50</v>
      </c>
      <c r="D19" s="12"/>
      <c r="E19" s="12"/>
      <c r="F19" s="12"/>
      <c r="G19" s="12"/>
      <c r="H19" t="s" s="36">
        <v>70</v>
      </c>
    </row>
    <row r="20" ht="13.55" customHeight="1">
      <c r="A20" s="10"/>
      <c r="B20" s="12"/>
      <c r="C20" s="12"/>
      <c r="D20" s="12"/>
      <c r="E20" s="12"/>
      <c r="F20" s="12"/>
      <c r="G20" s="12"/>
      <c r="H20" s="13"/>
    </row>
    <row r="21" ht="13.65" customHeight="1">
      <c r="A21" t="s" s="30">
        <v>71</v>
      </c>
      <c r="B21" s="32"/>
      <c r="C21" s="32"/>
      <c r="D21" s="32"/>
      <c r="E21" s="32"/>
      <c r="F21" s="32"/>
      <c r="G21" s="32"/>
      <c r="H21" s="39"/>
    </row>
    <row r="22" ht="13.65" customHeight="1">
      <c r="A22" t="s" s="34">
        <v>72</v>
      </c>
      <c r="B22" s="40">
        <v>0.0549</v>
      </c>
      <c r="C22" t="s" s="19">
        <v>50</v>
      </c>
      <c r="D22" s="12"/>
      <c r="E22" s="12"/>
      <c r="F22" s="12"/>
      <c r="G22" s="12"/>
      <c r="H22" t="s" s="36">
        <v>73</v>
      </c>
    </row>
    <row r="23" ht="13.65" customHeight="1">
      <c r="A23" t="s" s="34">
        <v>74</v>
      </c>
      <c r="B23" s="40">
        <v>0.045</v>
      </c>
      <c r="C23" t="s" s="19">
        <v>50</v>
      </c>
      <c r="D23" s="12"/>
      <c r="E23" s="12"/>
      <c r="F23" s="12"/>
      <c r="G23" s="12"/>
      <c r="H23" t="s" s="36">
        <v>75</v>
      </c>
    </row>
    <row r="24" ht="13.65" customHeight="1">
      <c r="A24" t="s" s="34">
        <v>76</v>
      </c>
      <c r="B24" s="38">
        <v>0.85</v>
      </c>
      <c r="C24" t="s" s="19">
        <v>50</v>
      </c>
      <c r="D24" s="12"/>
      <c r="E24" s="12"/>
      <c r="F24" s="12"/>
      <c r="G24" s="12"/>
      <c r="H24" t="s" s="36">
        <v>77</v>
      </c>
    </row>
    <row r="25" ht="13.55" customHeight="1">
      <c r="A25" s="10"/>
      <c r="B25" s="12"/>
      <c r="C25" s="12"/>
      <c r="D25" s="12"/>
      <c r="E25" s="12"/>
      <c r="F25" s="12"/>
      <c r="G25" s="12"/>
      <c r="H25" s="13"/>
    </row>
    <row r="26" ht="13.65" customHeight="1">
      <c r="A26" t="s" s="30">
        <v>78</v>
      </c>
      <c r="B26" s="32"/>
      <c r="C26" s="32"/>
      <c r="D26" s="32"/>
      <c r="E26" s="32"/>
      <c r="F26" s="32"/>
      <c r="G26" s="32"/>
      <c r="H26" s="39"/>
    </row>
    <row r="27" ht="13.65" customHeight="1">
      <c r="A27" t="s" s="34">
        <v>79</v>
      </c>
      <c r="B27" s="35">
        <v>620</v>
      </c>
      <c r="C27" t="s" s="19">
        <v>41</v>
      </c>
      <c r="D27" s="12"/>
      <c r="E27" s="12"/>
      <c r="F27" s="12"/>
      <c r="G27" s="12"/>
      <c r="H27" t="s" s="36">
        <v>80</v>
      </c>
    </row>
    <row r="28" ht="13.65" customHeight="1">
      <c r="A28" t="s" s="34">
        <v>81</v>
      </c>
      <c r="B28" s="40">
        <v>0.005</v>
      </c>
      <c r="C28" t="s" s="19">
        <v>50</v>
      </c>
      <c r="D28" s="12"/>
      <c r="E28" s="12"/>
      <c r="F28" s="12"/>
      <c r="G28" s="12"/>
      <c r="H28" t="s" s="36">
        <v>82</v>
      </c>
    </row>
    <row r="29" ht="13.65" customHeight="1">
      <c r="A29" t="s" s="34">
        <v>83</v>
      </c>
      <c r="B29" s="35">
        <v>400</v>
      </c>
      <c r="C29" t="s" s="19">
        <v>41</v>
      </c>
      <c r="D29" s="12"/>
      <c r="E29" s="12"/>
      <c r="F29" s="12"/>
      <c r="G29" s="12"/>
      <c r="H29" t="s" s="36">
        <v>84</v>
      </c>
    </row>
    <row r="30" ht="13.65" customHeight="1">
      <c r="A30" t="s" s="34">
        <v>85</v>
      </c>
      <c r="B30" s="40">
        <v>0.0175</v>
      </c>
      <c r="C30" t="s" s="19">
        <v>50</v>
      </c>
      <c r="D30" s="12"/>
      <c r="E30" s="12"/>
      <c r="F30" s="12"/>
      <c r="G30" s="12"/>
      <c r="H30" t="s" s="36">
        <v>86</v>
      </c>
    </row>
    <row r="31" ht="13.65" customHeight="1">
      <c r="A31" t="s" s="34">
        <v>87</v>
      </c>
      <c r="B31" s="35">
        <v>1200</v>
      </c>
      <c r="C31" t="s" s="19">
        <v>41</v>
      </c>
      <c r="D31" s="12"/>
      <c r="E31" s="12"/>
      <c r="F31" s="12"/>
      <c r="G31" s="12"/>
      <c r="H31" t="s" s="36">
        <v>88</v>
      </c>
    </row>
    <row r="32" ht="13.65" customHeight="1">
      <c r="A32" t="s" s="34">
        <v>89</v>
      </c>
      <c r="B32" s="40">
        <v>0.0525</v>
      </c>
      <c r="C32" t="s" s="19">
        <v>50</v>
      </c>
      <c r="D32" s="12"/>
      <c r="E32" s="12"/>
      <c r="F32" s="12"/>
      <c r="G32" s="12"/>
      <c r="H32" t="s" s="36">
        <v>90</v>
      </c>
    </row>
    <row r="33" ht="13.65" customHeight="1">
      <c r="A33" t="s" s="34">
        <v>91</v>
      </c>
      <c r="B33" s="35">
        <v>505</v>
      </c>
      <c r="C33" t="s" s="19">
        <v>41</v>
      </c>
      <c r="D33" s="12"/>
      <c r="E33" s="12"/>
      <c r="F33" s="12"/>
      <c r="G33" s="12"/>
      <c r="H33" t="s" s="36">
        <v>92</v>
      </c>
    </row>
    <row r="34" ht="13.55" customHeight="1">
      <c r="A34" s="10"/>
      <c r="B34" s="12"/>
      <c r="C34" s="12"/>
      <c r="D34" s="12"/>
      <c r="E34" s="12"/>
      <c r="F34" s="12"/>
      <c r="G34" s="12"/>
      <c r="H34" s="13"/>
    </row>
    <row r="35" ht="13.65" customHeight="1">
      <c r="A35" t="s" s="30">
        <v>93</v>
      </c>
      <c r="B35" t="s" s="42">
        <v>94</v>
      </c>
      <c r="C35" t="s" s="42">
        <v>95</v>
      </c>
      <c r="D35" t="s" s="42">
        <v>96</v>
      </c>
      <c r="E35" t="s" s="42">
        <v>97</v>
      </c>
      <c r="F35" t="s" s="42">
        <v>98</v>
      </c>
      <c r="G35" s="32"/>
      <c r="H35" s="39"/>
    </row>
    <row r="36" ht="13.65" customHeight="1">
      <c r="A36" t="s" s="34">
        <v>99</v>
      </c>
      <c r="B36" s="38">
        <v>0.03</v>
      </c>
      <c r="C36" s="38">
        <v>0.04</v>
      </c>
      <c r="D36" s="38">
        <v>0.04</v>
      </c>
      <c r="E36" s="38">
        <v>0.035</v>
      </c>
      <c r="F36" s="38">
        <v>0.03</v>
      </c>
      <c r="G36" s="12"/>
      <c r="H36" t="s" s="36">
        <v>100</v>
      </c>
    </row>
    <row r="37" ht="13.65" customHeight="1">
      <c r="A37" t="s" s="43">
        <v>101</v>
      </c>
      <c r="B37" s="44">
        <v>0.025</v>
      </c>
      <c r="C37" s="44">
        <v>0.025</v>
      </c>
      <c r="D37" s="44">
        <v>0.025</v>
      </c>
      <c r="E37" s="44">
        <v>0.025</v>
      </c>
      <c r="F37" s="44">
        <v>0.025</v>
      </c>
      <c r="G37" s="25"/>
      <c r="H37" t="s" s="45">
        <v>102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39"/>
  <sheetViews>
    <sheetView workbookViewId="0" showGridLines="0" defaultGridColor="1"/>
  </sheetViews>
  <sheetFormatPr defaultColWidth="8.83333" defaultRowHeight="15" customHeight="1" outlineLevelRow="0" outlineLevelCol="0"/>
  <cols>
    <col min="1" max="1" width="46" style="46" customWidth="1"/>
    <col min="2" max="7" width="12" style="46" customWidth="1"/>
    <col min="8" max="16384" width="8.85156" style="46" customWidth="1"/>
  </cols>
  <sheetData>
    <row r="1" ht="18.5" customHeight="1">
      <c r="A1" t="s" s="28">
        <v>103</v>
      </c>
      <c r="B1" s="8"/>
      <c r="C1" s="8"/>
      <c r="D1" s="8"/>
      <c r="E1" s="8"/>
      <c r="F1" s="8"/>
      <c r="G1" s="9"/>
    </row>
    <row r="2" ht="13.65" customHeight="1">
      <c r="A2" t="s" s="29">
        <v>16</v>
      </c>
      <c r="B2" s="12"/>
      <c r="C2" s="12"/>
      <c r="D2" s="12"/>
      <c r="E2" s="12"/>
      <c r="F2" s="12"/>
      <c r="G2" s="13"/>
    </row>
    <row r="3" ht="13.55" customHeight="1">
      <c r="A3" s="10"/>
      <c r="B3" s="12"/>
      <c r="C3" s="12"/>
      <c r="D3" s="12"/>
      <c r="E3" s="12"/>
      <c r="F3" s="12"/>
      <c r="G3" s="13"/>
    </row>
    <row r="4" ht="13.65" customHeight="1">
      <c r="A4" s="47"/>
      <c r="B4" t="s" s="42">
        <v>104</v>
      </c>
      <c r="C4" t="s" s="42">
        <v>94</v>
      </c>
      <c r="D4" t="s" s="42">
        <v>95</v>
      </c>
      <c r="E4" t="s" s="42">
        <v>96</v>
      </c>
      <c r="F4" t="s" s="42">
        <v>97</v>
      </c>
      <c r="G4" t="s" s="48">
        <v>98</v>
      </c>
    </row>
    <row r="5" ht="13.65" customHeight="1">
      <c r="A5" t="s" s="34">
        <v>105</v>
      </c>
      <c r="B5" s="12"/>
      <c r="C5" s="49">
        <f>'Assumptions'!B36</f>
        <v>0.03</v>
      </c>
      <c r="D5" s="49">
        <f>'Assumptions'!C36</f>
        <v>0.04</v>
      </c>
      <c r="E5" s="49">
        <f>'Assumptions'!D36</f>
        <v>0.04</v>
      </c>
      <c r="F5" s="49">
        <f>'Assumptions'!E36</f>
        <v>0.035</v>
      </c>
      <c r="G5" s="50">
        <f>'Assumptions'!F36</f>
        <v>0.03</v>
      </c>
    </row>
    <row r="6" ht="13.65" customHeight="1">
      <c r="A6" t="s" s="34">
        <v>106</v>
      </c>
      <c r="B6" s="12"/>
      <c r="C6" s="49">
        <f>'Assumptions'!B37</f>
        <v>0.025</v>
      </c>
      <c r="D6" s="49">
        <f>'Assumptions'!C37</f>
        <v>0.025</v>
      </c>
      <c r="E6" s="49">
        <f>'Assumptions'!D37</f>
        <v>0.025</v>
      </c>
      <c r="F6" s="49">
        <f>'Assumptions'!E37</f>
        <v>0.025</v>
      </c>
      <c r="G6" s="50">
        <f>'Assumptions'!F37</f>
        <v>0.025</v>
      </c>
    </row>
    <row r="7" ht="13.65" customHeight="1">
      <c r="A7" t="s" s="34">
        <v>107</v>
      </c>
      <c r="B7" s="12"/>
      <c r="C7" s="51">
        <f>'Assumptions'!$B$6</f>
        <v>6050</v>
      </c>
      <c r="D7" s="51">
        <f>C7*(1+'Assumptions'!C36)</f>
        <v>6292</v>
      </c>
      <c r="E7" s="51">
        <f>D7*(1+'Assumptions'!D36)</f>
        <v>6543.68</v>
      </c>
      <c r="F7" s="51">
        <f>E7*(1+'Assumptions'!E36)</f>
        <v>6772.7088</v>
      </c>
      <c r="G7" s="52">
        <f>F7*(1+'Assumptions'!F36)</f>
        <v>6975.890064</v>
      </c>
    </row>
    <row r="8" ht="13.65" customHeight="1">
      <c r="A8" t="s" s="34">
        <v>108</v>
      </c>
      <c r="B8" s="12"/>
      <c r="C8" s="53">
        <f>'Assumptions'!$B$7</f>
        <v>478</v>
      </c>
      <c r="D8" s="53">
        <f>C8*(1+'Assumptions'!C37)</f>
        <v>489.95</v>
      </c>
      <c r="E8" s="53">
        <f>D8*(1+'Assumptions'!D37)</f>
        <v>502.19875</v>
      </c>
      <c r="F8" s="53">
        <f>E8*(1+'Assumptions'!E37)</f>
        <v>514.75371875</v>
      </c>
      <c r="G8" s="54">
        <f>F8*(1+'Assumptions'!F37)</f>
        <v>527.622561718750</v>
      </c>
    </row>
    <row r="9" ht="13.55" customHeight="1">
      <c r="A9" s="10"/>
      <c r="B9" s="12"/>
      <c r="C9" s="12"/>
      <c r="D9" s="12"/>
      <c r="E9" s="12"/>
      <c r="F9" s="12"/>
      <c r="G9" s="13"/>
    </row>
    <row r="10" ht="13.65" customHeight="1">
      <c r="A10" t="s" s="34">
        <v>109</v>
      </c>
      <c r="B10" s="12"/>
      <c r="C10" s="53">
        <f>C7*C8/1000</f>
        <v>2891.9</v>
      </c>
      <c r="D10" s="53">
        <f>D7*D8/1000</f>
        <v>3082.7654</v>
      </c>
      <c r="E10" s="53">
        <f>E7*E8/1000</f>
        <v>3286.2279164</v>
      </c>
      <c r="F10" s="53">
        <f>F7*F8/1000</f>
        <v>3486.277040810850</v>
      </c>
      <c r="G10" s="54">
        <f>G7*G8/1000</f>
        <v>3680.636985836050</v>
      </c>
    </row>
    <row r="11" ht="13.65" customHeight="1">
      <c r="A11" t="s" s="34">
        <v>110</v>
      </c>
      <c r="B11" s="12"/>
      <c r="C11" s="55">
        <f>MAX(0,'Assumptions'!$B$16-'Assumptions'!$B$22)*100*'Assumptions'!$B$23*'Assumptions'!$B$24</f>
        <v>0.02601</v>
      </c>
      <c r="D11" s="55">
        <f>MAX(0,'Assumptions'!$B$16-'Assumptions'!$B$22)*100*'Assumptions'!$B$23*'Assumptions'!$B$24</f>
        <v>0.02601</v>
      </c>
      <c r="E11" s="55">
        <f>MAX(0,'Assumptions'!$B$16-'Assumptions'!$B$22)*100*'Assumptions'!$B$23*'Assumptions'!$B$24</f>
        <v>0.02601</v>
      </c>
      <c r="F11" s="55">
        <f>MAX(0,'Assumptions'!$B$16-'Assumptions'!$B$22)*100*'Assumptions'!$B$23*'Assumptions'!$B$24</f>
        <v>0.02601</v>
      </c>
      <c r="G11" s="56">
        <f>MAX(0,'Assumptions'!$B$16-'Assumptions'!$B$22)*100*'Assumptions'!$B$23*'Assumptions'!$B$24</f>
        <v>0.02601</v>
      </c>
    </row>
    <row r="12" ht="13.65" customHeight="1">
      <c r="A12" t="s" s="57">
        <v>111</v>
      </c>
      <c r="B12" s="12"/>
      <c r="C12" s="58">
        <f>-C10*C11</f>
        <v>-75.21831899999999</v>
      </c>
      <c r="D12" s="58">
        <f>-D10*D11</f>
        <v>-80.18272805399999</v>
      </c>
      <c r="E12" s="58">
        <f>-E10*E11</f>
        <v>-85.474788105564</v>
      </c>
      <c r="F12" s="58">
        <f>-F10*F11</f>
        <v>-90.6780658314902</v>
      </c>
      <c r="G12" s="59">
        <f>-G10*G11</f>
        <v>-95.73336800159569</v>
      </c>
    </row>
    <row r="13" ht="13.65" customHeight="1">
      <c r="A13" t="s" s="60">
        <v>112</v>
      </c>
      <c r="B13" s="61">
        <f>'Assumptions'!B5</f>
        <v>2760</v>
      </c>
      <c r="C13" s="62">
        <f>C10+C12</f>
        <v>2816.681681</v>
      </c>
      <c r="D13" s="62">
        <f>D10+D12</f>
        <v>3002.582671946</v>
      </c>
      <c r="E13" s="62">
        <f>E10+E12</f>
        <v>3200.753128294440</v>
      </c>
      <c r="F13" s="62">
        <f>F10+F12</f>
        <v>3395.598974979360</v>
      </c>
      <c r="G13" s="63">
        <f>G10+G12</f>
        <v>3584.903617834450</v>
      </c>
    </row>
    <row r="14" ht="13.55" customHeight="1">
      <c r="A14" s="10"/>
      <c r="B14" s="12"/>
      <c r="C14" s="12"/>
      <c r="D14" s="12"/>
      <c r="E14" s="12"/>
      <c r="F14" s="12"/>
      <c r="G14" s="13"/>
    </row>
    <row r="15" ht="13.65" customHeight="1">
      <c r="A15" t="s" s="64">
        <v>113</v>
      </c>
      <c r="B15" s="12"/>
      <c r="C15" s="12"/>
      <c r="D15" s="12"/>
      <c r="E15" s="12"/>
      <c r="F15" s="12"/>
      <c r="G15" s="13"/>
    </row>
    <row r="16" ht="13.65" customHeight="1">
      <c r="A16" t="s" s="34">
        <v>114</v>
      </c>
      <c r="B16" s="12"/>
      <c r="C16" s="53">
        <f>C10*'Assumptions'!$B$8</f>
        <v>694.056</v>
      </c>
      <c r="D16" s="53">
        <f>D10*'Assumptions'!$B$8</f>
        <v>739.863696</v>
      </c>
      <c r="E16" s="53">
        <f>E10*'Assumptions'!$B$8</f>
        <v>788.694699936</v>
      </c>
      <c r="F16" s="53">
        <f>F10*'Assumptions'!$B$8</f>
        <v>836.706489794604</v>
      </c>
      <c r="G16" s="54">
        <f>G10*'Assumptions'!$B$8</f>
        <v>883.3528766006521</v>
      </c>
    </row>
    <row r="17" ht="13.65" customHeight="1">
      <c r="A17" t="s" s="57">
        <v>115</v>
      </c>
      <c r="B17" s="12"/>
      <c r="C17" s="58">
        <f>C7*'Assumptions'!$B$9/1000</f>
        <v>1282.6</v>
      </c>
      <c r="D17" s="58">
        <f>D7*'Assumptions'!$B$9/1000</f>
        <v>1333.904</v>
      </c>
      <c r="E17" s="58">
        <f>E7*'Assumptions'!$B$9/1000</f>
        <v>1387.26016</v>
      </c>
      <c r="F17" s="58">
        <f>F7*'Assumptions'!$B$9/1000</f>
        <v>1435.8142656</v>
      </c>
      <c r="G17" s="59">
        <f>G7*'Assumptions'!$B$9/1000</f>
        <v>1478.888693568</v>
      </c>
    </row>
    <row r="18" ht="13.65" customHeight="1">
      <c r="A18" t="s" s="65">
        <v>116</v>
      </c>
      <c r="B18" s="12"/>
      <c r="C18" s="66">
        <f>C16+C17</f>
        <v>1976.656</v>
      </c>
      <c r="D18" s="66">
        <f>D16+D17</f>
        <v>2073.767696</v>
      </c>
      <c r="E18" s="66">
        <f>E16+E17</f>
        <v>2175.954859936</v>
      </c>
      <c r="F18" s="66">
        <f>F16+F17</f>
        <v>2272.5207553946</v>
      </c>
      <c r="G18" s="67">
        <f>G16+G17</f>
        <v>2362.241570168650</v>
      </c>
    </row>
    <row r="19" ht="13.65" customHeight="1">
      <c r="A19" t="s" s="64">
        <v>117</v>
      </c>
      <c r="B19" s="12"/>
      <c r="C19" s="68">
        <f>C13-C18</f>
        <v>840.025681</v>
      </c>
      <c r="D19" s="68">
        <f>D13-D18</f>
        <v>928.814975946</v>
      </c>
      <c r="E19" s="68">
        <f>E13-E18</f>
        <v>1024.798268358440</v>
      </c>
      <c r="F19" s="68">
        <f>F13-F18</f>
        <v>1123.078219584760</v>
      </c>
      <c r="G19" s="69">
        <f>G13-G18</f>
        <v>1222.6620476658</v>
      </c>
    </row>
    <row r="20" ht="13.65" customHeight="1">
      <c r="A20" t="s" s="34">
        <v>118</v>
      </c>
      <c r="B20" s="12"/>
      <c r="C20" s="70">
        <f>C19/C13</f>
        <v>0.298232379848392</v>
      </c>
      <c r="D20" s="70">
        <f>D19/D13</f>
        <v>0.30933868520064</v>
      </c>
      <c r="E20" s="70">
        <f>E19/E13</f>
        <v>0.320174105056492</v>
      </c>
      <c r="F20" s="70">
        <f>F19/F13</f>
        <v>0.330745246379274</v>
      </c>
      <c r="G20" s="71">
        <f>G19/G13</f>
        <v>0.341058554986864</v>
      </c>
    </row>
    <row r="21" ht="13.65" customHeight="1">
      <c r="A21" t="s" s="57">
        <v>119</v>
      </c>
      <c r="B21" s="12"/>
      <c r="C21" s="58">
        <f>C13*'Assumptions'!$B$10</f>
        <v>267.584759695</v>
      </c>
      <c r="D21" s="58">
        <f>D13*'Assumptions'!$B$10</f>
        <v>285.245353834870</v>
      </c>
      <c r="E21" s="58">
        <f>E13*'Assumptions'!$B$10</f>
        <v>304.071547187972</v>
      </c>
      <c r="F21" s="58">
        <f>F13*'Assumptions'!$B$10</f>
        <v>322.581902623039</v>
      </c>
      <c r="G21" s="59">
        <f>G13*'Assumptions'!$B$10</f>
        <v>340.565843694273</v>
      </c>
    </row>
    <row r="22" ht="13.65" customHeight="1">
      <c r="A22" t="s" s="60">
        <v>120</v>
      </c>
      <c r="B22" s="12"/>
      <c r="C22" s="72">
        <f>C19-C21</f>
        <v>572.440921305</v>
      </c>
      <c r="D22" s="72">
        <f>D19-D21</f>
        <v>643.569622111130</v>
      </c>
      <c r="E22" s="72">
        <f>E19-E21</f>
        <v>720.726721170468</v>
      </c>
      <c r="F22" s="72">
        <f>F19-F21</f>
        <v>800.496316961721</v>
      </c>
      <c r="G22" s="73">
        <f>G19-G21</f>
        <v>882.096203971527</v>
      </c>
    </row>
    <row r="23" ht="13.65" customHeight="1">
      <c r="A23" t="s" s="34">
        <v>121</v>
      </c>
      <c r="B23" s="12"/>
      <c r="C23" s="70">
        <f>C22/C13</f>
        <v>0.203232379848392</v>
      </c>
      <c r="D23" s="70">
        <f>D22/D13</f>
        <v>0.21433868520064</v>
      </c>
      <c r="E23" s="70">
        <f>E22/E13</f>
        <v>0.225174105056492</v>
      </c>
      <c r="F23" s="70">
        <f>F22/F13</f>
        <v>0.235745246379274</v>
      </c>
      <c r="G23" s="71">
        <f>G22/G13</f>
        <v>0.246058554986864</v>
      </c>
    </row>
    <row r="24" ht="13.65" customHeight="1">
      <c r="A24" t="s" s="57">
        <v>122</v>
      </c>
      <c r="B24" s="12"/>
      <c r="C24" s="58">
        <f>C13*'Assumptions'!$B$11</f>
        <v>22.533453448</v>
      </c>
      <c r="D24" s="58">
        <f>D13*'Assumptions'!$B$11</f>
        <v>24.020661375568</v>
      </c>
      <c r="E24" s="58">
        <f>E13*'Assumptions'!$B$11</f>
        <v>25.6060250263555</v>
      </c>
      <c r="F24" s="58">
        <f>F13*'Assumptions'!$B$11</f>
        <v>27.1647917998349</v>
      </c>
      <c r="G24" s="59">
        <f>G13*'Assumptions'!$B$11</f>
        <v>28.6792289426756</v>
      </c>
    </row>
    <row r="25" ht="13.65" customHeight="1">
      <c r="A25" t="s" s="60">
        <v>123</v>
      </c>
      <c r="B25" s="12"/>
      <c r="C25" s="62">
        <f>C22-C24</f>
        <v>549.907467857</v>
      </c>
      <c r="D25" s="62">
        <f>D22-D24</f>
        <v>619.548960735562</v>
      </c>
      <c r="E25" s="62">
        <f>E22-E24</f>
        <v>695.120696144113</v>
      </c>
      <c r="F25" s="62">
        <f>F22-F24</f>
        <v>773.331525161886</v>
      </c>
      <c r="G25" s="63">
        <f>G22-G24</f>
        <v>853.416975028851</v>
      </c>
    </row>
    <row r="26" ht="13.55" customHeight="1">
      <c r="A26" s="10"/>
      <c r="B26" s="12"/>
      <c r="C26" s="12"/>
      <c r="D26" s="12"/>
      <c r="E26" s="12"/>
      <c r="F26" s="12"/>
      <c r="G26" s="13"/>
    </row>
    <row r="27" ht="13.65" customHeight="1">
      <c r="A27" t="s" s="64">
        <v>124</v>
      </c>
      <c r="B27" s="12"/>
      <c r="C27" s="12"/>
      <c r="D27" s="12"/>
      <c r="E27" s="12"/>
      <c r="F27" s="12"/>
      <c r="G27" s="13"/>
    </row>
    <row r="28" ht="13.65" customHeight="1">
      <c r="A28" t="s" s="34">
        <v>125</v>
      </c>
      <c r="B28" s="12"/>
      <c r="C28" s="53">
        <f>'Assumptions'!$B$18/'Assumptions'!$B$24/1000</f>
        <v>948.823529411765</v>
      </c>
      <c r="D28" s="53">
        <f>'Assumptions'!$B$18/'Assumptions'!$B$24/1000</f>
        <v>948.823529411765</v>
      </c>
      <c r="E28" s="53">
        <f>'Assumptions'!$B$18/'Assumptions'!$B$24/1000</f>
        <v>948.823529411765</v>
      </c>
      <c r="F28" s="53">
        <f>'Assumptions'!$B$18/'Assumptions'!$B$24/1000</f>
        <v>948.823529411765</v>
      </c>
      <c r="G28" s="54">
        <f>'Assumptions'!$B$18/'Assumptions'!$B$24/1000</f>
        <v>948.823529411765</v>
      </c>
    </row>
    <row r="29" ht="13.65" customHeight="1">
      <c r="A29" t="s" s="34">
        <v>126</v>
      </c>
      <c r="B29" s="12"/>
      <c r="C29" t="str" s="74">
        <f>IF(C8&lt;=C28,"Yes","No")</f>
        <v>Yes</v>
      </c>
      <c r="D29" t="str" s="74">
        <f>IF(D8&lt;=D28,"Yes","No")</f>
        <v>Yes</v>
      </c>
      <c r="E29" t="str" s="74">
        <f>IF(E8&lt;=E28,"Yes","No")</f>
        <v>Yes</v>
      </c>
      <c r="F29" t="str" s="74">
        <f>IF(F8&lt;=F28,"Yes","No")</f>
        <v>Yes</v>
      </c>
      <c r="G29" t="str" s="75">
        <f>IF(G8&lt;=G28,"Yes","No")</f>
        <v>Yes</v>
      </c>
    </row>
    <row r="30" ht="13.55" customHeight="1">
      <c r="A30" s="10"/>
      <c r="B30" s="12"/>
      <c r="C30" s="12"/>
      <c r="D30" s="12"/>
      <c r="E30" s="12"/>
      <c r="F30" s="12"/>
      <c r="G30" s="13"/>
    </row>
    <row r="31" ht="13.65" customHeight="1">
      <c r="A31" t="s" s="64">
        <v>78</v>
      </c>
      <c r="B31" s="12"/>
      <c r="C31" s="12"/>
      <c r="D31" s="12"/>
      <c r="E31" s="12"/>
      <c r="F31" s="12"/>
      <c r="G31" s="13"/>
    </row>
    <row r="32" ht="13.65" customHeight="1">
      <c r="A32" t="s" s="34">
        <v>128</v>
      </c>
      <c r="B32" s="12"/>
      <c r="C32" s="53">
        <f>'Assumptions'!$B$27*('Assumptions'!$B$17+'Assumptions'!$B$28)</f>
        <v>46.5</v>
      </c>
      <c r="D32" s="53">
        <f>'Assumptions'!$B$27*('Assumptions'!$B$17+'Assumptions'!$B$28)</f>
        <v>46.5</v>
      </c>
      <c r="E32" s="53">
        <f>'Assumptions'!$B$27*('Assumptions'!$B$17+'Assumptions'!$B$28)</f>
        <v>46.5</v>
      </c>
      <c r="F32" s="53">
        <f>'Assumptions'!$B$27*('Assumptions'!$B$17+'Assumptions'!$B$28)</f>
        <v>46.5</v>
      </c>
      <c r="G32" s="54">
        <f>'Assumptions'!$B$27*('Assumptions'!$B$17+'Assumptions'!$B$28)</f>
        <v>46.5</v>
      </c>
    </row>
    <row r="33" ht="13.65" customHeight="1">
      <c r="A33" t="s" s="34">
        <v>129</v>
      </c>
      <c r="B33" s="12"/>
      <c r="C33" s="53">
        <f>'Assumptions'!$B$29*(0.0422+'Assumptions'!$B$30)</f>
        <v>23.88</v>
      </c>
      <c r="D33" s="53">
        <f>'Assumptions'!$B$29*(0.0422+'Assumptions'!$B$30)</f>
        <v>23.88</v>
      </c>
      <c r="E33" s="53">
        <f>'Assumptions'!$B$29*(0.0422+'Assumptions'!$B$30)</f>
        <v>23.88</v>
      </c>
      <c r="F33" s="53">
        <f>'Assumptions'!$B$29*(0.0422+'Assumptions'!$B$30)</f>
        <v>23.88</v>
      </c>
      <c r="G33" s="54">
        <f>'Assumptions'!$B$29*(0.0422+'Assumptions'!$B$30)</f>
        <v>23.88</v>
      </c>
    </row>
    <row r="34" ht="13.65" customHeight="1">
      <c r="A34" t="s" s="57">
        <v>130</v>
      </c>
      <c r="B34" s="12"/>
      <c r="C34" s="58">
        <f>'Assumptions'!$B$31*'Assumptions'!$B$32</f>
        <v>63</v>
      </c>
      <c r="D34" s="58">
        <f>'Assumptions'!$B$31*'Assumptions'!$B$32</f>
        <v>63</v>
      </c>
      <c r="E34" s="58">
        <f>'Assumptions'!$B$31*'Assumptions'!$B$32</f>
        <v>63</v>
      </c>
      <c r="F34" s="58">
        <f>'Assumptions'!$B$31*'Assumptions'!$B$32</f>
        <v>63</v>
      </c>
      <c r="G34" s="59">
        <f>'Assumptions'!$B$31*'Assumptions'!$B$32</f>
        <v>63</v>
      </c>
    </row>
    <row r="35" ht="13.65" customHeight="1">
      <c r="A35" t="s" s="65">
        <v>131</v>
      </c>
      <c r="B35" s="12"/>
      <c r="C35" s="66">
        <f>C32+C33+C34</f>
        <v>133.38</v>
      </c>
      <c r="D35" s="66">
        <f>D32+D33+D34</f>
        <v>133.38</v>
      </c>
      <c r="E35" s="66">
        <f>E32+E33+E34</f>
        <v>133.38</v>
      </c>
      <c r="F35" s="66">
        <f>F32+F33+F34</f>
        <v>133.38</v>
      </c>
      <c r="G35" s="67">
        <f>G32+G33+G34</f>
        <v>133.38</v>
      </c>
    </row>
    <row r="36" ht="13.65" customHeight="1">
      <c r="A36" t="s" s="57">
        <v>132</v>
      </c>
      <c r="B36" s="12"/>
      <c r="C36" s="76">
        <f>C35/('Assumptions'!$B$27+'Assumptions'!$B$29+'Assumptions'!$B$31)</f>
        <v>0.0600810810810811</v>
      </c>
      <c r="D36" s="76">
        <f>D35/('Assumptions'!$B$27+'Assumptions'!$B$29+'Assumptions'!$B$31)</f>
        <v>0.0600810810810811</v>
      </c>
      <c r="E36" s="76">
        <f>E35/('Assumptions'!$B$27+'Assumptions'!$B$29+'Assumptions'!$B$31)</f>
        <v>0.0600810810810811</v>
      </c>
      <c r="F36" s="76">
        <f>F35/('Assumptions'!$B$27+'Assumptions'!$B$29+'Assumptions'!$B$31)</f>
        <v>0.0600810810810811</v>
      </c>
      <c r="G36" s="77">
        <f>G35/('Assumptions'!$B$27+'Assumptions'!$B$29+'Assumptions'!$B$31)</f>
        <v>0.0600810810810811</v>
      </c>
    </row>
    <row r="37" ht="13.65" customHeight="1">
      <c r="A37" t="s" s="65">
        <v>133</v>
      </c>
      <c r="B37" s="12"/>
      <c r="C37" s="66">
        <f>C25-C35</f>
        <v>416.527467857</v>
      </c>
      <c r="D37" s="66">
        <f>D25-D35</f>
        <v>486.168960735562</v>
      </c>
      <c r="E37" s="66">
        <f>E25-E35</f>
        <v>561.740696144113</v>
      </c>
      <c r="F37" s="66">
        <f>F25-F35</f>
        <v>639.951525161886</v>
      </c>
      <c r="G37" s="67">
        <f>G25-G35</f>
        <v>720.036975028851</v>
      </c>
    </row>
    <row r="38" ht="13.65" customHeight="1">
      <c r="A38" t="s" s="57">
        <v>134</v>
      </c>
      <c r="B38" s="12"/>
      <c r="C38" s="58">
        <f>MAX(C37,0)*'Assumptions'!$B$19</f>
        <v>87.47076824997001</v>
      </c>
      <c r="D38" s="58">
        <f>MAX(D37,0)*'Assumptions'!$B$19</f>
        <v>102.095481754468</v>
      </c>
      <c r="E38" s="58">
        <f>MAX(E37,0)*'Assumptions'!$B$19</f>
        <v>117.965546190264</v>
      </c>
      <c r="F38" s="58">
        <f>MAX(F37,0)*'Assumptions'!$B$19</f>
        <v>134.389820283996</v>
      </c>
      <c r="G38" s="59">
        <f>MAX(G37,0)*'Assumptions'!$B$19</f>
        <v>151.207764756059</v>
      </c>
    </row>
    <row r="39" ht="13.65" customHeight="1">
      <c r="A39" t="s" s="78">
        <v>135</v>
      </c>
      <c r="B39" s="25"/>
      <c r="C39" s="79">
        <f>C37-C38</f>
        <v>329.056699607030</v>
      </c>
      <c r="D39" s="79">
        <f>D37-D38</f>
        <v>384.073478981094</v>
      </c>
      <c r="E39" s="79">
        <f>E37-E38</f>
        <v>443.775149953849</v>
      </c>
      <c r="F39" s="79">
        <f>F37-F38</f>
        <v>505.561704877890</v>
      </c>
      <c r="G39" s="80">
        <f>G37-G38</f>
        <v>568.829210272792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43"/>
  <sheetViews>
    <sheetView workbookViewId="0" showGridLines="0" defaultGridColor="1"/>
  </sheetViews>
  <sheetFormatPr defaultColWidth="8.83333" defaultRowHeight="15" customHeight="1" outlineLevelRow="0" outlineLevelCol="0"/>
  <cols>
    <col min="1" max="1" width="46" style="81" customWidth="1"/>
    <col min="2" max="7" width="12" style="81" customWidth="1"/>
    <col min="8" max="8" width="62" style="81" customWidth="1"/>
    <col min="9" max="16384" width="8.85156" style="81" customWidth="1"/>
  </cols>
  <sheetData>
    <row r="1" ht="18.5" customHeight="1">
      <c r="A1" t="s" s="28">
        <v>136</v>
      </c>
      <c r="B1" s="8"/>
      <c r="C1" s="8"/>
      <c r="D1" s="8"/>
      <c r="E1" s="8"/>
      <c r="F1" s="8"/>
      <c r="G1" s="8"/>
      <c r="H1" s="9"/>
    </row>
    <row r="2" ht="13.65" customHeight="1">
      <c r="A2" t="s" s="29">
        <v>137</v>
      </c>
      <c r="B2" s="12"/>
      <c r="C2" s="12"/>
      <c r="D2" s="12"/>
      <c r="E2" s="12"/>
      <c r="F2" s="12"/>
      <c r="G2" s="12"/>
      <c r="H2" s="13"/>
    </row>
    <row r="3" ht="13.55" customHeight="1">
      <c r="A3" s="10"/>
      <c r="B3" s="12"/>
      <c r="C3" s="12"/>
      <c r="D3" s="12"/>
      <c r="E3" s="12"/>
      <c r="F3" s="12"/>
      <c r="G3" s="12"/>
      <c r="H3" s="13"/>
    </row>
    <row r="4" ht="13.65" customHeight="1">
      <c r="A4" t="s" s="30">
        <v>138</v>
      </c>
      <c r="B4" s="32"/>
      <c r="C4" s="32"/>
      <c r="D4" s="32"/>
      <c r="E4" s="32"/>
      <c r="F4" s="32"/>
      <c r="G4" s="32"/>
      <c r="H4" t="s" s="33">
        <v>39</v>
      </c>
    </row>
    <row r="5" ht="13.65" customHeight="1">
      <c r="A5" t="s" s="34">
        <v>139</v>
      </c>
      <c r="B5" s="82">
        <f>DATE(2025,11,1)</f>
        <v>45962</v>
      </c>
      <c r="C5" s="12"/>
      <c r="D5" s="12"/>
      <c r="E5" s="12"/>
      <c r="F5" s="12"/>
      <c r="G5" s="12"/>
      <c r="H5" t="s" s="36">
        <v>8</v>
      </c>
    </row>
    <row r="6" ht="13.65" customHeight="1">
      <c r="A6" t="s" s="34">
        <v>140</v>
      </c>
      <c r="B6" s="40">
        <v>0.0411</v>
      </c>
      <c r="C6" s="12"/>
      <c r="D6" s="12"/>
      <c r="E6" s="12"/>
      <c r="F6" s="12"/>
      <c r="G6" s="12"/>
      <c r="H6" t="s" s="36">
        <v>141</v>
      </c>
    </row>
    <row r="7" ht="13.65" customHeight="1">
      <c r="A7" t="s" s="34">
        <v>142</v>
      </c>
      <c r="B7" s="40">
        <v>0.05</v>
      </c>
      <c r="C7" s="12"/>
      <c r="D7" s="12"/>
      <c r="E7" s="12"/>
      <c r="F7" s="12"/>
      <c r="G7" s="12"/>
      <c r="H7" t="s" s="36">
        <v>143</v>
      </c>
    </row>
    <row r="8" ht="13.65" customHeight="1">
      <c r="A8" t="s" s="34">
        <v>144</v>
      </c>
      <c r="B8" s="83">
        <v>1.6</v>
      </c>
      <c r="C8" s="12"/>
      <c r="D8" s="12"/>
      <c r="E8" s="12"/>
      <c r="F8" s="12"/>
      <c r="G8" s="12"/>
      <c r="H8" t="s" s="36">
        <v>145</v>
      </c>
    </row>
    <row r="9" ht="13.65" customHeight="1">
      <c r="A9" t="s" s="34">
        <v>146</v>
      </c>
      <c r="B9" s="40">
        <v>0.01</v>
      </c>
      <c r="C9" s="12"/>
      <c r="D9" s="12"/>
      <c r="E9" s="12"/>
      <c r="F9" s="12"/>
      <c r="G9" s="12"/>
      <c r="H9" t="s" s="36">
        <v>143</v>
      </c>
    </row>
    <row r="10" ht="13.65" customHeight="1">
      <c r="A10" t="s" s="34">
        <v>147</v>
      </c>
      <c r="B10" s="55">
        <f>B6+B8*B7+B9</f>
        <v>0.1311</v>
      </c>
      <c r="C10" s="12"/>
      <c r="D10" s="12"/>
      <c r="E10" s="12"/>
      <c r="F10" s="12"/>
      <c r="G10" s="12"/>
      <c r="H10" t="s" s="36">
        <v>148</v>
      </c>
    </row>
    <row r="11" ht="13.65" customHeight="1">
      <c r="A11" t="s" s="34">
        <v>149</v>
      </c>
      <c r="B11" s="84">
        <f>'P&amp;L'!C36</f>
        <v>0.0600810810810811</v>
      </c>
      <c r="C11" s="12"/>
      <c r="D11" s="12"/>
      <c r="E11" s="12"/>
      <c r="F11" s="12"/>
      <c r="G11" s="12"/>
      <c r="H11" t="s" s="36">
        <v>150</v>
      </c>
    </row>
    <row r="12" ht="13.65" customHeight="1">
      <c r="A12" t="s" s="34">
        <v>151</v>
      </c>
      <c r="B12" s="49">
        <f>'Assumptions'!B19</f>
        <v>0.21</v>
      </c>
      <c r="C12" s="12"/>
      <c r="D12" s="12"/>
      <c r="E12" s="12"/>
      <c r="F12" s="12"/>
      <c r="G12" s="12"/>
      <c r="H12" s="85"/>
    </row>
    <row r="13" ht="13.65" customHeight="1">
      <c r="A13" t="s" s="34">
        <v>152</v>
      </c>
      <c r="B13" s="55">
        <f>B11*(1-B12)</f>
        <v>0.0474640540540541</v>
      </c>
      <c r="C13" s="12"/>
      <c r="D13" s="12"/>
      <c r="E13" s="12"/>
      <c r="F13" s="12"/>
      <c r="G13" s="12"/>
      <c r="H13" s="85"/>
    </row>
    <row r="14" ht="13.65" customHeight="1">
      <c r="A14" t="s" s="34">
        <v>153</v>
      </c>
      <c r="B14" s="38">
        <v>0.3</v>
      </c>
      <c r="C14" s="12"/>
      <c r="D14" s="12"/>
      <c r="E14" s="12"/>
      <c r="F14" s="12"/>
      <c r="G14" s="12"/>
      <c r="H14" t="s" s="36">
        <v>154</v>
      </c>
    </row>
    <row r="15" ht="13.65" customHeight="1">
      <c r="A15" t="s" s="64">
        <v>155</v>
      </c>
      <c r="B15" s="86">
        <f>B10*(1-B14)+B13*B14</f>
        <v>0.106009216216216</v>
      </c>
      <c r="C15" s="12"/>
      <c r="D15" s="12"/>
      <c r="E15" s="12"/>
      <c r="F15" s="12"/>
      <c r="G15" s="12"/>
      <c r="H15" s="85"/>
    </row>
    <row r="16" ht="13.65" customHeight="1">
      <c r="A16" t="s" s="34">
        <v>156</v>
      </c>
      <c r="B16" s="38">
        <v>0.025</v>
      </c>
      <c r="C16" s="12"/>
      <c r="D16" s="12"/>
      <c r="E16" s="12"/>
      <c r="F16" s="12"/>
      <c r="G16" s="12"/>
      <c r="H16" t="s" s="36">
        <v>157</v>
      </c>
    </row>
    <row r="17" ht="13.55" customHeight="1">
      <c r="A17" s="10"/>
      <c r="B17" s="12"/>
      <c r="C17" s="12"/>
      <c r="D17" s="12"/>
      <c r="E17" s="12"/>
      <c r="F17" s="12"/>
      <c r="G17" s="12"/>
      <c r="H17" s="13"/>
    </row>
    <row r="18" ht="13.65" customHeight="1">
      <c r="A18" t="s" s="30">
        <v>158</v>
      </c>
      <c r="B18" s="32"/>
      <c r="C18" t="s" s="42">
        <v>94</v>
      </c>
      <c r="D18" t="s" s="42">
        <v>95</v>
      </c>
      <c r="E18" t="s" s="42">
        <v>96</v>
      </c>
      <c r="F18" t="s" s="42">
        <v>97</v>
      </c>
      <c r="G18" t="s" s="42">
        <v>98</v>
      </c>
      <c r="H18" s="39"/>
    </row>
    <row r="19" ht="13.65" customHeight="1">
      <c r="A19" t="s" s="34">
        <v>159</v>
      </c>
      <c r="B19" s="12"/>
      <c r="C19" s="82">
        <f>DATE(2025,12,31)</f>
        <v>46022</v>
      </c>
      <c r="D19" s="82">
        <f>DATE(YEAR(C19)+1,12,31)</f>
        <v>46387</v>
      </c>
      <c r="E19" s="82">
        <f>DATE(YEAR(D19)+1,12,31)</f>
        <v>46752</v>
      </c>
      <c r="F19" s="82">
        <f>DATE(YEAR(E19)+1,12,31)</f>
        <v>47118</v>
      </c>
      <c r="G19" s="82">
        <f>DATE(YEAR(F19)+1,12,31)</f>
        <v>47483</v>
      </c>
      <c r="H19" s="13"/>
    </row>
    <row r="20" ht="13.65" customHeight="1">
      <c r="A20" t="s" s="34">
        <v>120</v>
      </c>
      <c r="B20" s="12"/>
      <c r="C20" s="87">
        <f>'P&amp;L'!C22</f>
        <v>572.440921305</v>
      </c>
      <c r="D20" s="87">
        <f>'P&amp;L'!D22</f>
        <v>643.569622111130</v>
      </c>
      <c r="E20" s="87">
        <f>'P&amp;L'!E22</f>
        <v>720.726721170468</v>
      </c>
      <c r="F20" s="87">
        <f>'P&amp;L'!F22</f>
        <v>800.496316961721</v>
      </c>
      <c r="G20" s="87">
        <f>'P&amp;L'!G22</f>
        <v>882.096203971527</v>
      </c>
      <c r="H20" s="13"/>
    </row>
    <row r="21" ht="13.65" customHeight="1">
      <c r="A21" t="s" s="57">
        <v>160</v>
      </c>
      <c r="B21" s="12"/>
      <c r="C21" s="88">
        <f>-'P&amp;L'!C24</f>
        <v>-22.533453448</v>
      </c>
      <c r="D21" s="88">
        <f>-'P&amp;L'!D24</f>
        <v>-24.020661375568</v>
      </c>
      <c r="E21" s="88">
        <f>-'P&amp;L'!E24</f>
        <v>-25.6060250263555</v>
      </c>
      <c r="F21" s="88">
        <f>-'P&amp;L'!F24</f>
        <v>-27.1647917998349</v>
      </c>
      <c r="G21" s="88">
        <f>-'P&amp;L'!G24</f>
        <v>-28.6792289426756</v>
      </c>
      <c r="H21" s="13"/>
    </row>
    <row r="22" ht="13.65" customHeight="1">
      <c r="A22" t="s" s="65">
        <v>123</v>
      </c>
      <c r="B22" s="12"/>
      <c r="C22" s="66">
        <f>C20+C21</f>
        <v>549.907467857</v>
      </c>
      <c r="D22" s="66">
        <f>D20+D21</f>
        <v>619.548960735562</v>
      </c>
      <c r="E22" s="66">
        <f>E20+E21</f>
        <v>695.120696144113</v>
      </c>
      <c r="F22" s="66">
        <f>F20+F21</f>
        <v>773.331525161886</v>
      </c>
      <c r="G22" s="66">
        <f>G20+G21</f>
        <v>853.416975028851</v>
      </c>
      <c r="H22" s="13"/>
    </row>
    <row r="23" ht="13.65" customHeight="1">
      <c r="A23" t="s" s="34">
        <v>161</v>
      </c>
      <c r="B23" s="12"/>
      <c r="C23" s="53">
        <f>-MAX(C22,0)*$B$12</f>
        <v>-115.480568249970</v>
      </c>
      <c r="D23" s="53">
        <f>-MAX(D22,0)*$B$12</f>
        <v>-130.105281754468</v>
      </c>
      <c r="E23" s="53">
        <f>-MAX(E22,0)*$B$12</f>
        <v>-145.975346190264</v>
      </c>
      <c r="F23" s="53">
        <f>-MAX(F22,0)*$B$12</f>
        <v>-162.399620283996</v>
      </c>
      <c r="G23" s="53">
        <f>-MAX(G22,0)*$B$12</f>
        <v>-179.217564756059</v>
      </c>
      <c r="H23" s="13"/>
    </row>
    <row r="24" ht="13.65" customHeight="1">
      <c r="A24" t="s" s="34">
        <v>162</v>
      </c>
      <c r="B24" s="12"/>
      <c r="C24" s="53">
        <f>-C21</f>
        <v>22.533453448</v>
      </c>
      <c r="D24" s="53">
        <f>-D21</f>
        <v>24.020661375568</v>
      </c>
      <c r="E24" s="53">
        <f>-E21</f>
        <v>25.6060250263555</v>
      </c>
      <c r="F24" s="53">
        <f>-F21</f>
        <v>27.1647917998349</v>
      </c>
      <c r="G24" s="53">
        <f>-G21</f>
        <v>28.6792289426756</v>
      </c>
      <c r="H24" s="13"/>
    </row>
    <row r="25" ht="13.65" customHeight="1">
      <c r="A25" t="s" s="34">
        <v>163</v>
      </c>
      <c r="B25" s="12"/>
      <c r="C25" s="53">
        <f>-'P&amp;L'!C13*'Assumptions'!$B$12</f>
        <v>-19.716771767</v>
      </c>
      <c r="D25" s="53">
        <f>-'P&amp;L'!D13*'Assumptions'!$B$12</f>
        <v>-21.018078703622</v>
      </c>
      <c r="E25" s="53">
        <f>-'P&amp;L'!E13*'Assumptions'!$B$12</f>
        <v>-22.4052718980611</v>
      </c>
      <c r="F25" s="53">
        <f>-'P&amp;L'!F13*'Assumptions'!$B$12</f>
        <v>-23.7691928248555</v>
      </c>
      <c r="G25" s="53">
        <f>-'P&amp;L'!G13*'Assumptions'!$B$12</f>
        <v>-25.0943253248412</v>
      </c>
      <c r="H25" s="13"/>
    </row>
    <row r="26" ht="13.65" customHeight="1">
      <c r="A26" t="s" s="57">
        <v>164</v>
      </c>
      <c r="B26" s="12"/>
      <c r="C26" s="58">
        <f>-('P&amp;L'!C13-'P&amp;L'!B13)*'Assumptions'!$B$13</f>
        <v>-39.6771767</v>
      </c>
      <c r="D26" s="58">
        <f>-('P&amp;L'!D13-'P&amp;L'!C13)*'Assumptions'!$B$13</f>
        <v>-130.1306936622</v>
      </c>
      <c r="E26" s="58">
        <f>-('P&amp;L'!E13-'P&amp;L'!D13)*'Assumptions'!$B$13</f>
        <v>-138.719319443908</v>
      </c>
      <c r="F26" s="58">
        <f>-('P&amp;L'!F13-'P&amp;L'!E13)*'Assumptions'!$B$13</f>
        <v>-136.392092679444</v>
      </c>
      <c r="G26" s="58">
        <f>-('P&amp;L'!G13-'P&amp;L'!F13)*'Assumptions'!$B$13</f>
        <v>-132.513249998563</v>
      </c>
      <c r="H26" s="13"/>
    </row>
    <row r="27" ht="13.65" customHeight="1">
      <c r="A27" t="s" s="60">
        <v>158</v>
      </c>
      <c r="B27" s="12"/>
      <c r="C27" s="62">
        <f>SUM(C22:C26)</f>
        <v>397.566404588030</v>
      </c>
      <c r="D27" s="62">
        <f>SUM(D22:D26)</f>
        <v>362.315567990840</v>
      </c>
      <c r="E27" s="62">
        <f>SUM(E22:E26)</f>
        <v>413.626783638235</v>
      </c>
      <c r="F27" s="62">
        <f>SUM(F22:F26)</f>
        <v>477.935411173425</v>
      </c>
      <c r="G27" s="62">
        <f>SUM(G22:G26)</f>
        <v>545.271063892063</v>
      </c>
      <c r="H27" s="13"/>
    </row>
    <row r="28" ht="13.65" customHeight="1">
      <c r="A28" t="s" s="34">
        <v>165</v>
      </c>
      <c r="B28" s="12"/>
      <c r="C28" s="70">
        <f>MIN(1,(C19-$B$5)/365)</f>
        <v>0.164383561643836</v>
      </c>
      <c r="D28" s="70">
        <f>MIN(1,(D19-$B$5)/365)</f>
        <v>1</v>
      </c>
      <c r="E28" s="70">
        <f>MIN(1,(E19-$B$5)/365)</f>
        <v>1</v>
      </c>
      <c r="F28" s="70">
        <f>MIN(1,(F19-$B$5)/365)</f>
        <v>1</v>
      </c>
      <c r="G28" s="70">
        <f>MIN(1,(G19-$B$5)/365)</f>
        <v>1</v>
      </c>
      <c r="H28" s="13"/>
    </row>
    <row r="29" ht="13.65" customHeight="1">
      <c r="A29" t="s" s="34">
        <v>166</v>
      </c>
      <c r="B29" s="12"/>
      <c r="C29" s="53">
        <f>C27*C28</f>
        <v>65.3533815761147</v>
      </c>
      <c r="D29" s="53">
        <f>D27*D28</f>
        <v>362.315567990840</v>
      </c>
      <c r="E29" s="53">
        <f>E27*E28</f>
        <v>413.626783638235</v>
      </c>
      <c r="F29" s="53">
        <f>F27*F28</f>
        <v>477.935411173425</v>
      </c>
      <c r="G29" s="53">
        <f>G27*G28</f>
        <v>545.271063892063</v>
      </c>
      <c r="H29" s="13"/>
    </row>
    <row r="30" ht="13.65" customHeight="1">
      <c r="A30" t="s" s="34">
        <v>167</v>
      </c>
      <c r="B30" s="12"/>
      <c r="C30" s="89">
        <f>(C19-$B$5)/365</f>
        <v>0.164383561643836</v>
      </c>
      <c r="D30" s="89">
        <f>(D19-$B$5)/365</f>
        <v>1.16438356164384</v>
      </c>
      <c r="E30" s="89">
        <f>(E19-$B$5)/365</f>
        <v>2.16438356164384</v>
      </c>
      <c r="F30" s="89">
        <f>(F19-$B$5)/365</f>
        <v>3.16712328767123</v>
      </c>
      <c r="G30" s="89">
        <f>(G19-$B$5)/365</f>
        <v>4.16712328767123</v>
      </c>
      <c r="H30" s="13"/>
    </row>
    <row r="31" ht="13.65" customHeight="1">
      <c r="A31" t="s" s="34">
        <v>168</v>
      </c>
      <c r="B31" s="12"/>
      <c r="C31" s="90">
        <f>1/(1+$B$15)^C30</f>
        <v>0.983573414578698</v>
      </c>
      <c r="D31" s="90">
        <f>1/(1+$B$15)^D30</f>
        <v>0.8892994743241061</v>
      </c>
      <c r="E31" s="90">
        <f>1/(1+$B$15)^E30</f>
        <v>0.804061540614012</v>
      </c>
      <c r="F31" s="90">
        <f>1/(1+$B$15)^F30</f>
        <v>0.726792867820738</v>
      </c>
      <c r="G31" s="90">
        <f>1/(1+$B$15)^G30</f>
        <v>0.6571309326943769</v>
      </c>
      <c r="H31" s="13"/>
    </row>
    <row r="32" ht="13.65" customHeight="1">
      <c r="A32" t="s" s="64">
        <v>169</v>
      </c>
      <c r="B32" s="12"/>
      <c r="C32" s="68">
        <f>C29*C31</f>
        <v>64.2798486710837</v>
      </c>
      <c r="D32" s="68">
        <f>D29*D31</f>
        <v>322.207044153694</v>
      </c>
      <c r="E32" s="68">
        <f>E29*E31</f>
        <v>332.581388891378</v>
      </c>
      <c r="F32" s="68">
        <f>F29*F31</f>
        <v>347.360048119817</v>
      </c>
      <c r="G32" s="68">
        <f>G29*G31</f>
        <v>358.314482786647</v>
      </c>
      <c r="H32" s="13"/>
    </row>
    <row r="33" ht="13.55" customHeight="1">
      <c r="A33" s="10"/>
      <c r="B33" s="12"/>
      <c r="C33" s="12"/>
      <c r="D33" s="12"/>
      <c r="E33" s="12"/>
      <c r="F33" s="12"/>
      <c r="G33" s="12"/>
      <c r="H33" s="13"/>
    </row>
    <row r="34" ht="13.65" customHeight="1">
      <c r="A34" t="s" s="30">
        <v>170</v>
      </c>
      <c r="B34" s="32"/>
      <c r="C34" s="32"/>
      <c r="D34" s="32"/>
      <c r="E34" s="32"/>
      <c r="F34" s="32"/>
      <c r="G34" s="32"/>
      <c r="H34" s="39"/>
    </row>
    <row r="35" ht="13.65" customHeight="1">
      <c r="A35" t="s" s="34">
        <v>171</v>
      </c>
      <c r="B35" s="53">
        <f>SUM(C32:G32)</f>
        <v>1424.742812622620</v>
      </c>
      <c r="C35" s="12"/>
      <c r="D35" s="12"/>
      <c r="E35" s="12"/>
      <c r="F35" s="12"/>
      <c r="G35" s="12"/>
      <c r="H35" s="13"/>
    </row>
    <row r="36" ht="13.65" customHeight="1">
      <c r="A36" t="s" s="34">
        <v>172</v>
      </c>
      <c r="B36" s="53">
        <f>G27*(1+B16)/(B15-B16)</f>
        <v>6899.250068012460</v>
      </c>
      <c r="C36" s="12"/>
      <c r="D36" s="12"/>
      <c r="E36" s="12"/>
      <c r="F36" s="12"/>
      <c r="G36" s="12"/>
      <c r="H36" s="13"/>
    </row>
    <row r="37" ht="13.65" customHeight="1">
      <c r="A37" t="s" s="34">
        <v>173</v>
      </c>
      <c r="B37" s="53">
        <f>B36*G31</f>
        <v>4533.710632084770</v>
      </c>
      <c r="C37" s="12"/>
      <c r="D37" s="12"/>
      <c r="E37" s="12"/>
      <c r="F37" s="12"/>
      <c r="G37" s="12"/>
      <c r="H37" s="13"/>
    </row>
    <row r="38" ht="13.65" customHeight="1">
      <c r="A38" t="s" s="64">
        <v>174</v>
      </c>
      <c r="B38" s="91">
        <f>B35+B37</f>
        <v>5958.453444707390</v>
      </c>
      <c r="C38" s="12"/>
      <c r="D38" s="12"/>
      <c r="E38" s="12"/>
      <c r="F38" s="12"/>
      <c r="G38" s="12"/>
      <c r="H38" s="13"/>
    </row>
    <row r="39" ht="13.65" customHeight="1">
      <c r="A39" t="s" s="34">
        <v>175</v>
      </c>
      <c r="B39" s="87">
        <f>-('Assumptions'!B27+'Assumptions'!B29+'Assumptions'!B31)</f>
        <v>-2220</v>
      </c>
      <c r="C39" s="12"/>
      <c r="D39" s="12"/>
      <c r="E39" s="12"/>
      <c r="F39" s="12"/>
      <c r="G39" s="12"/>
      <c r="H39" t="s" s="36">
        <v>176</v>
      </c>
    </row>
    <row r="40" ht="13.65" customHeight="1">
      <c r="A40" t="s" s="34">
        <v>177</v>
      </c>
      <c r="B40" s="87">
        <f>'Assumptions'!B33</f>
        <v>505</v>
      </c>
      <c r="C40" s="12"/>
      <c r="D40" s="12"/>
      <c r="E40" s="12"/>
      <c r="F40" s="12"/>
      <c r="G40" s="12"/>
      <c r="H40" s="13"/>
    </row>
    <row r="41" ht="13.65" customHeight="1">
      <c r="A41" t="s" s="64">
        <v>178</v>
      </c>
      <c r="B41" s="91">
        <f>SUM(B38:B40)</f>
        <v>4243.453444707390</v>
      </c>
      <c r="C41" s="12"/>
      <c r="D41" s="12"/>
      <c r="E41" s="12"/>
      <c r="F41" s="12"/>
      <c r="G41" s="12"/>
      <c r="H41" s="13"/>
    </row>
    <row r="42" ht="13.65" customHeight="1">
      <c r="A42" t="s" s="34">
        <v>179</v>
      </c>
      <c r="B42" s="92">
        <f>B38/'P&amp;L'!C22</f>
        <v>10.4088530762683</v>
      </c>
      <c r="C42" s="12"/>
      <c r="D42" s="12"/>
      <c r="E42" s="12"/>
      <c r="F42" s="12"/>
      <c r="G42" s="12"/>
      <c r="H42" s="13"/>
    </row>
    <row r="43" ht="13.65" customHeight="1">
      <c r="A43" t="s" s="43">
        <v>180</v>
      </c>
      <c r="B43" s="93">
        <f>B37/B38</f>
        <v>0.76088714532323</v>
      </c>
      <c r="C43" s="25"/>
      <c r="D43" s="25"/>
      <c r="E43" s="25"/>
      <c r="F43" s="25"/>
      <c r="G43" s="25"/>
      <c r="H4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dc:creator>Ridgeline Homes FP&amp;A</dc:creator>
  <dc:title>Ridgeline Homes, Inc. - Operating Model &amp; DCF</dc:title>
  <dcterms:created xsi:type="dcterms:W3CDTF">2025-11-01T09:30:00Z</dcterms:created>
  <dcterms:modified xsi:type="dcterms:W3CDTF">2026-10-10T22:51:45Z</dcterms:modified>
</cp:coreProperties>
</file>