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ver" sheetId="2" r:id="rId6"/>
    <sheet name="Assumptions" sheetId="3" r:id="rId7"/>
    <sheet name="P&amp;L" sheetId="4" r:id="rId8"/>
    <sheet name="DCF" sheetId="5" r:id="rId9"/>
  </sheets>
</workbook>
</file>

<file path=xl/sharedStrings.xml><?xml version="1.0" encoding="utf-8"?>
<sst xmlns="http://schemas.openxmlformats.org/spreadsheetml/2006/main" uniqueCount="189">
  <si>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</si>
  <si>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</si>
  <si>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</si>
  <si>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</si>
  <si>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Cover</t>
  </si>
  <si>
    <t>Table 1</t>
  </si>
  <si>
    <t>Bluestem Coffee Roasters, Inc.</t>
  </si>
  <si>
    <t>Five-year operating model and DCF valuation</t>
  </si>
  <si>
    <t>Model date</t>
  </si>
  <si>
    <t>Market inputs as of</t>
  </si>
  <si>
    <t>Close of 30-Apr-2026</t>
  </si>
  <si>
    <t>Prepared by</t>
  </si>
  <si>
    <t>FP&amp;A / Corporate Development</t>
  </si>
  <si>
    <t>Version</t>
  </si>
  <si>
    <t>v1 - board pre-read, May 2026</t>
  </si>
  <si>
    <t>Currency / units</t>
  </si>
  <si>
    <t>US$ millions unless noted</t>
  </si>
  <si>
    <t>Fiscal year</t>
  </si>
  <si>
    <t>Calendar year (FY2026 = Jan-Dec 2026)</t>
  </si>
  <si>
    <t>Business</t>
  </si>
  <si>
    <t>US roaster of branded and private-label coffee for grocery and foodservice. Buys green arabica priced off the arabica benchmark, about half from its own sourcing and dry-mill operation in Brazil; delivers to stores with its own diesel fleet.</t>
  </si>
  <si>
    <t>Tabs</t>
  </si>
  <si>
    <t>Assumptions</t>
  </si>
  <si>
    <t>Operating, market, policy and financing inputs</t>
  </si>
  <si>
    <t>P&amp;L</t>
  </si>
  <si>
    <t>Revenue build, operating costs, EBITDA, interest, net income</t>
  </si>
  <si>
    <t>DCF</t>
  </si>
  <si>
    <t>WACC, unlevered free cash flow, NPV / enterprise and equity value</t>
  </si>
  <si>
    <t>Colour legend</t>
  </si>
  <si>
    <t>1,234</t>
  </si>
  <si>
    <t>Hardcoded input</t>
  </si>
  <si>
    <t>Formula</t>
  </si>
  <si>
    <t>Link to another tab</t>
  </si>
  <si>
    <t>Key output</t>
  </si>
  <si>
    <t>Bluestem Coffee Roasters, Inc. - Assumptions</t>
  </si>
  <si>
    <t>Model date 1-May-2026. Market inputs at close of 30-Apr-2026. US$ millions unless noted.</t>
  </si>
  <si>
    <t>Volumes and pricing</t>
  </si>
  <si>
    <t>Value</t>
  </si>
  <si>
    <t>Unit</t>
  </si>
  <si>
    <t>Source / note</t>
  </si>
  <si>
    <t>FY2025A net revenue</t>
  </si>
  <si>
    <t>$mm</t>
  </si>
  <si>
    <t>FY2025 audited financial statements</t>
  </si>
  <si>
    <t>Green coffee roasted, FY2026E</t>
  </si>
  <si>
    <t>million lbs</t>
  </si>
  <si>
    <t>2026 volume plan</t>
  </si>
  <si>
    <t>Roast shrink (weight loss in roasting)</t>
  </si>
  <si>
    <t>%</t>
  </si>
  <si>
    <t>Plant standard</t>
  </si>
  <si>
    <t>Net price per roasted lb, FY2026E</t>
  </si>
  <si>
    <t>$/lb</t>
  </si>
  <si>
    <t>2026 price list net of trade spend</t>
  </si>
  <si>
    <t>Contract differential over arabica benchmark</t>
  </si>
  <si>
    <t>cents/lb</t>
  </si>
  <si>
    <t>Weighted 2026 purchase contracts</t>
  </si>
  <si>
    <t>Brazil-origin share of green purchases</t>
  </si>
  <si>
    <t>2026 sourcing plan</t>
  </si>
  <si>
    <t>Brazil sourcing and dry-mill costs, FY2026E</t>
  </si>
  <si>
    <t>R$mm</t>
  </si>
  <si>
    <t>Minas Gerais operation, BRL cost base</t>
  </si>
  <si>
    <t>Natural gas used in roasting, FY2026E</t>
  </si>
  <si>
    <t>000 MMBtu</t>
  </si>
  <si>
    <t>Plant energy plan</t>
  </si>
  <si>
    <t>Utility delivery charge over Henry Hub</t>
  </si>
  <si>
    <t>$/MMBtu</t>
  </si>
  <si>
    <t>Utility tariff schedule</t>
  </si>
  <si>
    <t>Delivery fleet diesel, FY2026E</t>
  </si>
  <si>
    <t>million gal</t>
  </si>
  <si>
    <t>Fleet plan</t>
  </si>
  <si>
    <t>Packaging, % of revenue</t>
  </si>
  <si>
    <t>FY2025A run-rate</t>
  </si>
  <si>
    <t>Plant labor and overhead, % of revenue</t>
  </si>
  <si>
    <t>SG&amp;A, % of revenue</t>
  </si>
  <si>
    <t>D&amp;A, % of revenue</t>
  </si>
  <si>
    <t>Capex, % of revenue</t>
  </si>
  <si>
    <t>Five-year capital plan</t>
  </si>
  <si>
    <t>Net working capital, % of revenue</t>
  </si>
  <si>
    <t>FY2025A actual</t>
  </si>
  <si>
    <t>Market and policy inputs (close of 30-Apr-2026)</t>
  </si>
  <si>
    <t>Arabica coffee, other mild arabicas</t>
  </si>
  <si>
    <t>IMF monthly average for Mar-2026 (latest published), FRED series PCOFFOTMUSDM</t>
  </si>
  <si>
    <t>Natural gas, Henry Hub spot</t>
  </si>
  <si>
    <t>EIA, FRED series DHHNGSP, 30-Apr-2026</t>
  </si>
  <si>
    <t>On-highway diesel, US average retail</t>
  </si>
  <si>
    <t>$/gal</t>
  </si>
  <si>
    <t>EIA weekly, FRED series GASDESW, week of 27-Apr-2026</t>
  </si>
  <si>
    <t>Additional US tariff on Brazilian green coffee</t>
  </si>
  <si>
    <t>Green coffee exempt from the Section 122 surcharge (Annex II)</t>
  </si>
  <si>
    <t>US federal corporate income tax rate</t>
  </si>
  <si>
    <t>IRC section 11(b)</t>
  </si>
  <si>
    <t>Financing</t>
  </si>
  <si>
    <t>Term loan balance, 31-Dec-2025</t>
  </si>
  <si>
    <t>Credit agreement; amortization paid each December</t>
  </si>
  <si>
    <t>Scheduled amortization, % of balance per year</t>
  </si>
  <si>
    <t>Credit agreement</t>
  </si>
  <si>
    <t>SOFR</t>
  </si>
  <si>
    <t>NY Fed SOFR, FRED series SOFR, 30-Apr-2026</t>
  </si>
  <si>
    <t>Term loan margin over SOFR</t>
  </si>
  <si>
    <t>Cash, 30-Apr-2026</t>
  </si>
  <si>
    <t>Management accounts</t>
  </si>
  <si>
    <t>Growth</t>
  </si>
  <si>
    <t>FY2026E</t>
  </si>
  <si>
    <t>FY2027E</t>
  </si>
  <si>
    <t>FY2028E</t>
  </si>
  <si>
    <t>FY2029E</t>
  </si>
  <si>
    <t>FY2030E</t>
  </si>
  <si>
    <t>Volume growth, year on year</t>
  </si>
  <si>
    <t>Management plan</t>
  </si>
  <si>
    <t>Price growth, year on year</t>
  </si>
  <si>
    <t>Pricing plan</t>
  </si>
  <si>
    <t>Bluestem Coffee Roasters, Inc. - Income Statement</t>
  </si>
  <si>
    <t>FY2025A</t>
  </si>
  <si>
    <t>Volume growth</t>
  </si>
  <si>
    <t>Price growth</t>
  </si>
  <si>
    <t>Green coffee roasted (million lbs)</t>
  </si>
  <si>
    <t>Roasted coffee sold (million lbs)</t>
  </si>
  <si>
    <t>Net price per roasted lb ($)</t>
  </si>
  <si>
    <t>Net revenue</t>
  </si>
  <si>
    <t>Cost of goods sold</t>
  </si>
  <si>
    <t>Green coffee</t>
  </si>
  <si>
    <t>Import tariffs, Brazil origin</t>
  </si>
  <si>
    <t>Brazil sourcing and dry-mill costs (R$mm)</t>
  </si>
  <si>
    <t>Brazil sourcing and dry-mill costs</t>
  </si>
  <si>
    <t>Natural gas used (000 MMBtu)</t>
  </si>
  <si>
    <t>Roasting energy</t>
  </si>
  <si>
    <t>Delivery diesel (million gal)</t>
  </si>
  <si>
    <t>Delivery fuel</t>
  </si>
  <si>
    <t>Packaging</t>
  </si>
  <si>
    <t>Plant labor and overhead</t>
  </si>
  <si>
    <t>Total cost of goods sold</t>
  </si>
  <si>
    <t>Gross profit</t>
  </si>
  <si>
    <t xml:space="preserve">   Gross margin</t>
  </si>
  <si>
    <t>SG&amp;A</t>
  </si>
  <si>
    <t>EBITDA</t>
  </si>
  <si>
    <t xml:space="preserve">   EBITDA margin</t>
  </si>
  <si>
    <t>Depreciation and amortization</t>
  </si>
  <si>
    <t>EBIT</t>
  </si>
  <si>
    <t>Debt, opening</t>
  </si>
  <si>
    <t>Debt, closing</t>
  </si>
  <si>
    <t>Interest rate (SOFR + margin)</t>
  </si>
  <si>
    <t>Interest expense</t>
  </si>
  <si>
    <t>Pre-tax income</t>
  </si>
  <si>
    <t>Income tax</t>
  </si>
  <si>
    <t>Net income</t>
  </si>
  <si>
    <t>Bluestem Coffee Roasters, Inc. - DCF Valuation</t>
  </si>
  <si>
    <t>US$ millions unless noted. Unlevered free cash flow, end-of-period discounting.</t>
  </si>
  <si>
    <t>Discount rate (WACC)</t>
  </si>
  <si>
    <t>Valuation date</t>
  </si>
  <si>
    <t>Risk-free rate (10-year US Treasury)</t>
  </si>
  <si>
    <t>FRED series DGS10, 30-Apr-2026</t>
  </si>
  <si>
    <t>Equity risk premium</t>
  </si>
  <si>
    <t>House view</t>
  </si>
  <si>
    <t>Levered beta</t>
  </si>
  <si>
    <t>Median of packaged coffee and beverage peers, 2-year weekly</t>
  </si>
  <si>
    <t>Size premium</t>
  </si>
  <si>
    <t>Cost of equity</t>
  </si>
  <si>
    <t>CAPM + size premium</t>
  </si>
  <si>
    <t>Pre-tax cost of debt</t>
  </si>
  <si>
    <t>Term loan all-in rate, FY2026E</t>
  </si>
  <si>
    <t>Tax rate</t>
  </si>
  <si>
    <t>After-tax cost of debt</t>
  </si>
  <si>
    <t>Target debt / total capital</t>
  </si>
  <si>
    <t>Board-approved capital structure</t>
  </si>
  <si>
    <t>WACC</t>
  </si>
  <si>
    <t>Terminal growth rate</t>
  </si>
  <si>
    <t>House view, long-run nominal growth</t>
  </si>
  <si>
    <t>Unlevered free cash flow</t>
  </si>
  <si>
    <t>Fiscal year end</t>
  </si>
  <si>
    <t>Less: depreciation and amortization</t>
  </si>
  <si>
    <t>Less: taxes on EBIT</t>
  </si>
  <si>
    <t>Add back: depreciation and amortization</t>
  </si>
  <si>
    <t>Less: capex</t>
  </si>
  <si>
    <t>Less: increase in net working capital</t>
  </si>
  <si>
    <t>Share of year after valuation date</t>
  </si>
  <si>
    <t>Free cash flow to discount</t>
  </si>
  <si>
    <t>Discount period (years)</t>
  </si>
  <si>
    <t>Discount factor</t>
  </si>
  <si>
    <t>Present value of free cash flow</t>
  </si>
  <si>
    <t>Valuation</t>
  </si>
  <si>
    <t>Sum of PV of free cash flow, FY2026E-FY2030E</t>
  </si>
  <si>
    <t>Terminal value at end of FY2030E (Gordon growth)</t>
  </si>
  <si>
    <t>PV of terminal value</t>
  </si>
  <si>
    <t>Enterprise value (NPV)</t>
  </si>
  <si>
    <t>Less: debt outstanding</t>
  </si>
  <si>
    <t>Amortization is paid in December, so the 31-Dec-2025 balance is still outstanding</t>
  </si>
  <si>
    <t>Add: cash</t>
  </si>
  <si>
    <t>Equity value</t>
  </si>
  <si>
    <t>Implied EV / FY2026E EBITDA</t>
  </si>
  <si>
    <t>Terminal value share of enterprise value</t>
  </si>
</sst>
</file>

<file path=xl/styles.xml><?xml version="1.0" encoding="utf-8"?>
<styleSheet xmlns="http://schemas.openxmlformats.org/spreadsheetml/2006/main">
  <numFmts count="11">
    <numFmt numFmtId="0" formatCode="General"/>
    <numFmt numFmtId="59" formatCode="d-mmm-yyyy"/>
    <numFmt numFmtId="60" formatCode="#,##0.0;(#,##0.0);&quot;–&quot;"/>
    <numFmt numFmtId="61" formatCode="0.0%;(0.0%);&quot;–&quot;"/>
    <numFmt numFmtId="62" formatCode="&quot;$&quot;#,##0.00"/>
    <numFmt numFmtId="63" formatCode="#,##0;(#,##0);&quot;–&quot;"/>
    <numFmt numFmtId="64" formatCode="#,##0.00;(#,##0.00);&quot;–&quot;"/>
    <numFmt numFmtId="65" formatCode="&quot;$&quot;#,##0.000"/>
    <numFmt numFmtId="66" formatCode="0.00%;(0.00%);&quot;–&quot;"/>
    <numFmt numFmtId="67" formatCode="0.0000"/>
    <numFmt numFmtId="68" formatCode="0.0&quot;x&quot;"/>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Arial"/>
    </font>
    <font>
      <i val="1"/>
      <sz val="10"/>
      <color indexed="13"/>
      <name val="Arial"/>
    </font>
    <font>
      <b val="1"/>
      <sz val="10"/>
      <color indexed="8"/>
      <name val="Arial"/>
    </font>
    <font>
      <sz val="10"/>
      <color indexed="8"/>
      <name val="Arial"/>
    </font>
    <font>
      <sz val="10"/>
      <color indexed="11"/>
      <name val="Arial"/>
    </font>
    <font>
      <sz val="10"/>
      <color indexed="15"/>
      <name val="Arial"/>
    </font>
    <font>
      <b val="1"/>
      <sz val="10"/>
      <color indexed="14"/>
      <name val="Arial"/>
    </font>
    <font>
      <i val="1"/>
      <sz val="9"/>
      <color indexed="13"/>
      <name val="Arial"/>
    </font>
    <font>
      <b val="1"/>
      <sz val="10"/>
      <color indexed="15"/>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s>
  <borders count="19">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8"/>
      </top>
      <bottom/>
      <diagonal/>
    </border>
    <border>
      <left style="thin">
        <color indexed="12"/>
      </left>
      <right/>
      <top style="thin">
        <color indexed="8"/>
      </top>
      <bottom style="thin">
        <color indexed="12"/>
      </bottom>
      <diagonal/>
    </border>
    <border>
      <left/>
      <right/>
      <top style="thin">
        <color indexed="8"/>
      </top>
      <bottom style="thin">
        <color indexed="12"/>
      </bottom>
      <diagonal/>
    </border>
    <border>
      <left/>
      <right style="thin">
        <color indexed="12"/>
      </right>
      <top style="thin">
        <color indexed="8"/>
      </top>
      <bottom style="thin">
        <color indexed="12"/>
      </bottom>
      <diagonal/>
    </border>
  </borders>
  <cellStyleXfs count="1">
    <xf numFmtId="0" fontId="0" applyNumberFormat="0" applyFont="1" applyFill="0" applyBorder="0" applyAlignment="1" applyProtection="0">
      <alignment vertical="bottom"/>
    </xf>
  </cellStyleXfs>
  <cellXfs count="9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59" fontId="9" borderId="5" applyNumberFormat="1" applyFont="1" applyFill="0" applyBorder="1" applyAlignment="1" applyProtection="0">
      <alignment horizontal="left" vertical="bottom"/>
    </xf>
    <xf numFmtId="49" fontId="9" borderId="5" applyNumberFormat="1" applyFont="1" applyFill="0" applyBorder="1" applyAlignment="1" applyProtection="0">
      <alignment horizontal="left" vertical="bottom"/>
    </xf>
    <xf numFmtId="49" fontId="9" fillId="4" borderId="5" applyNumberFormat="1" applyFont="1" applyFill="1" applyBorder="1" applyAlignment="1" applyProtection="0">
      <alignment vertical="top" wrapText="1"/>
    </xf>
    <xf numFmtId="49" fontId="9" borderId="5" applyNumberFormat="1" applyFont="1" applyFill="0" applyBorder="1" applyAlignment="1" applyProtection="0">
      <alignment vertical="bottom"/>
    </xf>
    <xf numFmtId="49" fontId="10" borderId="5" applyNumberFormat="1" applyFont="1" applyFill="0" applyBorder="1" applyAlignment="1" applyProtection="0">
      <alignment vertical="bottom"/>
    </xf>
    <xf numFmtId="49" fontId="11"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9" fillId="5" borderId="8" applyNumberFormat="0" applyFont="1" applyFill="1" applyBorder="1" applyAlignment="1" applyProtection="0">
      <alignment vertical="bottom"/>
    </xf>
    <xf numFmtId="49" fontId="9"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7" borderId="4" applyNumberFormat="1" applyFont="1" applyFill="0" applyBorder="1" applyAlignment="1" applyProtection="0">
      <alignment vertical="bottom"/>
    </xf>
    <xf numFmtId="49" fontId="12" fillId="6" borderId="4" applyNumberFormat="1" applyFont="1" applyFill="1" applyBorder="1" applyAlignment="1" applyProtection="0">
      <alignment vertical="bottom"/>
    </xf>
    <xf numFmtId="49" fontId="12" fillId="6" borderId="5" applyNumberFormat="1" applyFont="1" applyFill="1" applyBorder="1" applyAlignment="1" applyProtection="0">
      <alignment vertical="bottom"/>
    </xf>
    <xf numFmtId="0" fontId="0" fillId="6" borderId="5" applyNumberFormat="0" applyFont="1" applyFill="1" applyBorder="1" applyAlignment="1" applyProtection="0">
      <alignment vertical="bottom"/>
    </xf>
    <xf numFmtId="49" fontId="12" fillId="6" borderId="6" applyNumberFormat="1" applyFont="1" applyFill="1" applyBorder="1" applyAlignment="1" applyProtection="0">
      <alignment vertical="bottom"/>
    </xf>
    <xf numFmtId="49" fontId="9" borderId="4" applyNumberFormat="1" applyFont="1" applyFill="0" applyBorder="1" applyAlignment="1" applyProtection="0">
      <alignment vertical="bottom"/>
    </xf>
    <xf numFmtId="60" fontId="10" borderId="5" applyNumberFormat="1" applyFont="1" applyFill="0" applyBorder="1" applyAlignment="1" applyProtection="0">
      <alignment vertical="bottom"/>
    </xf>
    <xf numFmtId="49" fontId="13" borderId="6" applyNumberFormat="1" applyFont="1" applyFill="0" applyBorder="1" applyAlignment="1" applyProtection="0">
      <alignment vertical="bottom"/>
    </xf>
    <xf numFmtId="61" fontId="10" borderId="5" applyNumberFormat="1" applyFont="1" applyFill="0" applyBorder="1" applyAlignment="1" applyProtection="0">
      <alignment vertical="bottom"/>
    </xf>
    <xf numFmtId="62" fontId="10" borderId="5" applyNumberFormat="1" applyFont="1" applyFill="0" applyBorder="1" applyAlignment="1" applyProtection="0">
      <alignment vertical="bottom"/>
    </xf>
    <xf numFmtId="63" fontId="10" borderId="5" applyNumberFormat="1" applyFont="1" applyFill="0" applyBorder="1" applyAlignment="1" applyProtection="0">
      <alignment vertical="bottom"/>
    </xf>
    <xf numFmtId="0" fontId="0" fillId="6" borderId="6" applyNumberFormat="0" applyFont="1" applyFill="1" applyBorder="1" applyAlignment="1" applyProtection="0">
      <alignment vertical="bottom"/>
    </xf>
    <xf numFmtId="64" fontId="10" borderId="5" applyNumberFormat="1" applyFont="1" applyFill="0" applyBorder="1" applyAlignment="1" applyProtection="0">
      <alignment vertical="bottom"/>
    </xf>
    <xf numFmtId="65" fontId="10" borderId="5" applyNumberFormat="1" applyFont="1" applyFill="0" applyBorder="1" applyAlignment="1" applyProtection="0">
      <alignment vertical="bottom"/>
    </xf>
    <xf numFmtId="66" fontId="10" borderId="5" applyNumberFormat="1" applyFont="1" applyFill="0" applyBorder="1" applyAlignment="1" applyProtection="0">
      <alignment vertical="bottom"/>
    </xf>
    <xf numFmtId="49" fontId="12" fillId="6" borderId="5" applyNumberFormat="1" applyFont="1" applyFill="1" applyBorder="1" applyAlignment="1" applyProtection="0">
      <alignment horizontal="right" vertical="bottom"/>
    </xf>
    <xf numFmtId="49" fontId="9" borderId="7" applyNumberFormat="1" applyFont="1" applyFill="0" applyBorder="1" applyAlignment="1" applyProtection="0">
      <alignment vertical="bottom"/>
    </xf>
    <xf numFmtId="61" fontId="10" borderId="8" applyNumberFormat="1" applyFont="1" applyFill="0" applyBorder="1" applyAlignment="1" applyProtection="0">
      <alignment vertical="bottom"/>
    </xf>
    <xf numFmtId="49" fontId="13" borderId="9" applyNumberFormat="1" applyFont="1" applyFill="0" applyBorder="1" applyAlignment="1" applyProtection="0">
      <alignment vertical="bottom"/>
    </xf>
    <xf numFmtId="0" fontId="0" applyNumberFormat="1" applyFont="1" applyFill="0" applyBorder="0" applyAlignment="1" applyProtection="0">
      <alignment vertical="bottom"/>
    </xf>
    <xf numFmtId="0" fontId="12" fillId="6" borderId="4" applyNumberFormat="0" applyFont="1" applyFill="1" applyBorder="1" applyAlignment="1" applyProtection="0">
      <alignment vertical="bottom"/>
    </xf>
    <xf numFmtId="49" fontId="12" fillId="6" borderId="6" applyNumberFormat="1" applyFont="1" applyFill="1" applyBorder="1" applyAlignment="1" applyProtection="0">
      <alignment horizontal="right" vertical="bottom"/>
    </xf>
    <xf numFmtId="61" fontId="11" borderId="5" applyNumberFormat="1" applyFont="1" applyFill="0" applyBorder="1" applyAlignment="1" applyProtection="0">
      <alignment vertical="bottom"/>
    </xf>
    <xf numFmtId="61" fontId="11" borderId="6" applyNumberFormat="1" applyFont="1" applyFill="0" applyBorder="1" applyAlignment="1" applyProtection="0">
      <alignment vertical="bottom"/>
    </xf>
    <xf numFmtId="60" fontId="9" borderId="5" applyNumberFormat="1" applyFont="1" applyFill="0" applyBorder="1" applyAlignment="1" applyProtection="0">
      <alignment vertical="bottom"/>
    </xf>
    <xf numFmtId="60" fontId="9" borderId="6" applyNumberFormat="1" applyFont="1" applyFill="0" applyBorder="1" applyAlignment="1" applyProtection="0">
      <alignment vertical="bottom"/>
    </xf>
    <xf numFmtId="62" fontId="9" borderId="5" applyNumberFormat="1" applyFont="1" applyFill="0" applyBorder="1" applyAlignment="1" applyProtection="0">
      <alignment vertical="bottom"/>
    </xf>
    <xf numFmtId="62" fontId="9" borderId="6" applyNumberFormat="1" applyFont="1" applyFill="0" applyBorder="1" applyAlignment="1" applyProtection="0">
      <alignment vertical="bottom"/>
    </xf>
    <xf numFmtId="49" fontId="8" borderId="4" applyNumberFormat="1" applyFont="1" applyFill="0" applyBorder="1" applyAlignment="1" applyProtection="0">
      <alignment vertical="bottom"/>
    </xf>
    <xf numFmtId="60" fontId="14" borderId="5" applyNumberFormat="1" applyFont="1" applyFill="0" applyBorder="1" applyAlignment="1" applyProtection="0">
      <alignment vertical="bottom"/>
    </xf>
    <xf numFmtId="60" fontId="8" borderId="5" applyNumberFormat="1" applyFont="1" applyFill="0" applyBorder="1" applyAlignment="1" applyProtection="0">
      <alignment vertical="bottom"/>
    </xf>
    <xf numFmtId="60" fontId="8" borderId="6" applyNumberFormat="1" applyFont="1" applyFill="0" applyBorder="1" applyAlignment="1" applyProtection="0">
      <alignment vertical="bottom"/>
    </xf>
    <xf numFmtId="63" fontId="9" borderId="5" applyNumberFormat="1" applyFont="1" applyFill="0" applyBorder="1" applyAlignment="1" applyProtection="0">
      <alignment vertical="bottom"/>
    </xf>
    <xf numFmtId="63" fontId="9" borderId="6" applyNumberFormat="1" applyFont="1" applyFill="0" applyBorder="1" applyAlignment="1" applyProtection="0">
      <alignment vertical="bottom"/>
    </xf>
    <xf numFmtId="49" fontId="9" borderId="10" applyNumberFormat="1" applyFont="1" applyFill="0" applyBorder="1" applyAlignment="1" applyProtection="0">
      <alignment vertical="bottom"/>
    </xf>
    <xf numFmtId="60" fontId="9" borderId="11" applyNumberFormat="1" applyFont="1" applyFill="0" applyBorder="1" applyAlignment="1" applyProtection="0">
      <alignment vertical="bottom"/>
    </xf>
    <xf numFmtId="60" fontId="9" borderId="12" applyNumberFormat="1" applyFont="1" applyFill="0" applyBorder="1" applyAlignment="1" applyProtection="0">
      <alignment vertical="bottom"/>
    </xf>
    <xf numFmtId="49" fontId="9" borderId="13" applyNumberFormat="1" applyFont="1" applyFill="0" applyBorder="1" applyAlignment="1" applyProtection="0">
      <alignment vertical="bottom"/>
    </xf>
    <xf numFmtId="60" fontId="9" borderId="14" applyNumberFormat="1" applyFont="1" applyFill="0" applyBorder="1" applyAlignment="1" applyProtection="0">
      <alignment vertical="bottom"/>
    </xf>
    <xf numFmtId="60" fontId="9" borderId="15" applyNumberFormat="1" applyFont="1" applyFill="0" applyBorder="1" applyAlignment="1" applyProtection="0">
      <alignment vertical="bottom"/>
    </xf>
    <xf numFmtId="61" fontId="9" borderId="5" applyNumberFormat="1" applyFont="1" applyFill="0" applyBorder="1" applyAlignment="1" applyProtection="0">
      <alignment vertical="bottom"/>
    </xf>
    <xf numFmtId="61" fontId="9" borderId="6" applyNumberFormat="1" applyFont="1" applyFill="0" applyBorder="1" applyAlignment="1" applyProtection="0">
      <alignment vertical="bottom"/>
    </xf>
    <xf numFmtId="49" fontId="8" borderId="13" applyNumberFormat="1" applyFont="1" applyFill="0" applyBorder="1" applyAlignment="1" applyProtection="0">
      <alignment vertical="bottom"/>
    </xf>
    <xf numFmtId="60" fontId="8" fillId="5" borderId="14" applyNumberFormat="1" applyFont="1" applyFill="1" applyBorder="1" applyAlignment="1" applyProtection="0">
      <alignment vertical="bottom"/>
    </xf>
    <xf numFmtId="60" fontId="8" fillId="5" borderId="15" applyNumberFormat="1" applyFont="1" applyFill="1" applyBorder="1" applyAlignment="1" applyProtection="0">
      <alignment vertical="bottom"/>
    </xf>
    <xf numFmtId="60" fontId="8" borderId="14" applyNumberFormat="1" applyFont="1" applyFill="0" applyBorder="1" applyAlignment="1" applyProtection="0">
      <alignment vertical="bottom"/>
    </xf>
    <xf numFmtId="60" fontId="8" borderId="15" applyNumberFormat="1" applyFont="1" applyFill="0" applyBorder="1" applyAlignment="1" applyProtection="0">
      <alignment vertical="bottom"/>
    </xf>
    <xf numFmtId="66" fontId="9" borderId="5" applyNumberFormat="1" applyFont="1" applyFill="0" applyBorder="1" applyAlignment="1" applyProtection="0">
      <alignment vertical="bottom"/>
    </xf>
    <xf numFmtId="66" fontId="9" borderId="6" applyNumberFormat="1" applyFont="1" applyFill="0" applyBorder="1" applyAlignment="1" applyProtection="0">
      <alignment vertical="bottom"/>
    </xf>
    <xf numFmtId="49" fontId="8" borderId="16" applyNumberFormat="1" applyFont="1" applyFill="0" applyBorder="1" applyAlignment="1" applyProtection="0">
      <alignment vertical="bottom"/>
    </xf>
    <xf numFmtId="60" fontId="8" borderId="17" applyNumberFormat="1" applyFont="1" applyFill="0" applyBorder="1" applyAlignment="1" applyProtection="0">
      <alignment vertical="bottom"/>
    </xf>
    <xf numFmtId="60" fontId="8" borderId="18" applyNumberFormat="1" applyFont="1" applyFill="0" applyBorder="1" applyAlignment="1" applyProtection="0">
      <alignment vertical="bottom"/>
    </xf>
    <xf numFmtId="0" fontId="0" applyNumberFormat="1" applyFont="1" applyFill="0" applyBorder="0" applyAlignment="1" applyProtection="0">
      <alignment vertical="bottom"/>
    </xf>
    <xf numFmtId="59" fontId="9" borderId="5" applyNumberFormat="1" applyFont="1" applyFill="0" applyBorder="1" applyAlignment="1" applyProtection="0">
      <alignment vertical="bottom"/>
    </xf>
    <xf numFmtId="2" fontId="10" borderId="5" applyNumberFormat="1" applyFont="1" applyFill="0" applyBorder="1" applyAlignment="1" applyProtection="0">
      <alignment vertical="bottom"/>
    </xf>
    <xf numFmtId="66" fontId="11" borderId="5" applyNumberFormat="1" applyFont="1" applyFill="0" applyBorder="1" applyAlignment="1" applyProtection="0">
      <alignment vertical="bottom"/>
    </xf>
    <xf numFmtId="0" fontId="13" borderId="6" applyNumberFormat="0" applyFont="1" applyFill="0" applyBorder="1" applyAlignment="1" applyProtection="0">
      <alignment vertical="bottom"/>
    </xf>
    <xf numFmtId="66" fontId="8" borderId="5" applyNumberFormat="1" applyFont="1" applyFill="0" applyBorder="1" applyAlignment="1" applyProtection="0">
      <alignment vertical="bottom"/>
    </xf>
    <xf numFmtId="60" fontId="11" borderId="5" applyNumberFormat="1" applyFont="1" applyFill="0" applyBorder="1" applyAlignment="1" applyProtection="0">
      <alignment vertical="bottom"/>
    </xf>
    <xf numFmtId="60" fontId="11" borderId="11" applyNumberFormat="1" applyFont="1" applyFill="0" applyBorder="1" applyAlignment="1" applyProtection="0">
      <alignment vertical="bottom"/>
    </xf>
    <xf numFmtId="2" fontId="9" borderId="5" applyNumberFormat="1" applyFont="1" applyFill="0" applyBorder="1" applyAlignment="1" applyProtection="0">
      <alignment vertical="bottom"/>
    </xf>
    <xf numFmtId="67" fontId="9" borderId="5" applyNumberFormat="1" applyFont="1" applyFill="0" applyBorder="1" applyAlignment="1" applyProtection="0">
      <alignment vertical="bottom"/>
    </xf>
    <xf numFmtId="60" fontId="8" fillId="5" borderId="5" applyNumberFormat="1" applyFont="1" applyFill="1" applyBorder="1" applyAlignment="1" applyProtection="0">
      <alignment vertical="bottom"/>
    </xf>
    <xf numFmtId="68" fontId="11" borderId="5" applyNumberFormat="1" applyFont="1" applyFill="0" applyBorder="1" applyAlignment="1" applyProtection="0">
      <alignment vertical="bottom"/>
    </xf>
    <xf numFmtId="61" fontId="9" borderId="8"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595959"/>
      <rgbColor rgb="ffffffff"/>
      <rgbColor rgb="ff008000"/>
      <rgbColor rgb="ffffff00"/>
      <rgbColor rgb="ff1f386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2.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5" customHeight="1" outlineLevelRow="0" outlineLevelCol="0"/>
  <cols>
    <col min="1" max="1" width="3" style="6" customWidth="1"/>
    <col min="2" max="2" width="28" style="6" customWidth="1"/>
    <col min="3" max="3" width="72" style="6" customWidth="1"/>
    <col min="4" max="5" width="8.85156" style="6" customWidth="1"/>
    <col min="6" max="16384" width="8.85156" style="6" customWidth="1"/>
  </cols>
  <sheetData>
    <row r="1" ht="13.55" customHeight="1">
      <c r="A1" s="7"/>
      <c r="B1" s="8"/>
      <c r="C1" s="8"/>
      <c r="D1" s="8"/>
      <c r="E1" s="9"/>
    </row>
    <row r="2" ht="18.5" customHeight="1">
      <c r="A2" s="10"/>
      <c r="B2" t="s" s="11">
        <v>6</v>
      </c>
      <c r="C2" s="12"/>
      <c r="D2" s="12"/>
      <c r="E2" s="13"/>
    </row>
    <row r="3" ht="13.65" customHeight="1">
      <c r="A3" s="10"/>
      <c r="B3" t="s" s="14">
        <v>7</v>
      </c>
      <c r="C3" s="12"/>
      <c r="D3" s="12"/>
      <c r="E3" s="13"/>
    </row>
    <row r="4" ht="13.55" customHeight="1">
      <c r="A4" s="10"/>
      <c r="B4" s="12"/>
      <c r="C4" s="12"/>
      <c r="D4" s="12"/>
      <c r="E4" s="13"/>
    </row>
    <row r="5" ht="13.65" customHeight="1">
      <c r="A5" s="10"/>
      <c r="B5" t="s" s="15">
        <v>8</v>
      </c>
      <c r="C5" s="16">
        <v>46143</v>
      </c>
      <c r="D5" s="12"/>
      <c r="E5" s="13"/>
    </row>
    <row r="6" ht="13.65" customHeight="1">
      <c r="A6" s="10"/>
      <c r="B6" t="s" s="15">
        <v>9</v>
      </c>
      <c r="C6" t="s" s="17">
        <v>10</v>
      </c>
      <c r="D6" s="12"/>
      <c r="E6" s="13"/>
    </row>
    <row r="7" ht="13.65" customHeight="1">
      <c r="A7" s="10"/>
      <c r="B7" t="s" s="15">
        <v>11</v>
      </c>
      <c r="C7" t="s" s="17">
        <v>12</v>
      </c>
      <c r="D7" s="12"/>
      <c r="E7" s="13"/>
    </row>
    <row r="8" ht="13.65" customHeight="1">
      <c r="A8" s="10"/>
      <c r="B8" t="s" s="15">
        <v>13</v>
      </c>
      <c r="C8" t="s" s="17">
        <v>14</v>
      </c>
      <c r="D8" s="12"/>
      <c r="E8" s="13"/>
    </row>
    <row r="9" ht="13.65" customHeight="1">
      <c r="A9" s="10"/>
      <c r="B9" t="s" s="15">
        <v>15</v>
      </c>
      <c r="C9" t="s" s="17">
        <v>16</v>
      </c>
      <c r="D9" s="12"/>
      <c r="E9" s="13"/>
    </row>
    <row r="10" ht="13.65" customHeight="1">
      <c r="A10" s="10"/>
      <c r="B10" t="s" s="15">
        <v>17</v>
      </c>
      <c r="C10" t="s" s="17">
        <v>18</v>
      </c>
      <c r="D10" s="12"/>
      <c r="E10" s="13"/>
    </row>
    <row r="11" ht="13.55" customHeight="1">
      <c r="A11" s="10"/>
      <c r="B11" s="12"/>
      <c r="C11" s="12"/>
      <c r="D11" s="12"/>
      <c r="E11" s="13"/>
    </row>
    <row r="12" ht="42" customHeight="1">
      <c r="A12" s="10"/>
      <c r="B12" t="s" s="15">
        <v>19</v>
      </c>
      <c r="C12" t="s" s="18">
        <v>20</v>
      </c>
      <c r="D12" s="12"/>
      <c r="E12" s="13"/>
    </row>
    <row r="13" ht="13.55" customHeight="1">
      <c r="A13" s="10"/>
      <c r="B13" s="12"/>
      <c r="C13" s="12"/>
      <c r="D13" s="12"/>
      <c r="E13" s="13"/>
    </row>
    <row r="14" ht="13.65" customHeight="1">
      <c r="A14" s="10"/>
      <c r="B14" t="s" s="15">
        <v>21</v>
      </c>
      <c r="C14" s="12"/>
      <c r="D14" s="12"/>
      <c r="E14" s="13"/>
    </row>
    <row r="15" ht="13.65" customHeight="1">
      <c r="A15" s="10"/>
      <c r="B15" t="s" s="19">
        <v>22</v>
      </c>
      <c r="C15" t="s" s="19">
        <v>23</v>
      </c>
      <c r="D15" s="12"/>
      <c r="E15" s="13"/>
    </row>
    <row r="16" ht="13.65" customHeight="1">
      <c r="A16" s="10"/>
      <c r="B16" t="s" s="19">
        <v>24</v>
      </c>
      <c r="C16" t="s" s="19">
        <v>25</v>
      </c>
      <c r="D16" s="12"/>
      <c r="E16" s="13"/>
    </row>
    <row r="17" ht="13.65" customHeight="1">
      <c r="A17" s="10"/>
      <c r="B17" t="s" s="19">
        <v>26</v>
      </c>
      <c r="C17" t="s" s="19">
        <v>27</v>
      </c>
      <c r="D17" s="12"/>
      <c r="E17" s="13"/>
    </row>
    <row r="18" ht="13.55" customHeight="1">
      <c r="A18" s="10"/>
      <c r="B18" s="12"/>
      <c r="C18" s="12"/>
      <c r="D18" s="12"/>
      <c r="E18" s="13"/>
    </row>
    <row r="19" ht="13.65" customHeight="1">
      <c r="A19" s="10"/>
      <c r="B19" t="s" s="15">
        <v>28</v>
      </c>
      <c r="C19" s="12"/>
      <c r="D19" s="12"/>
      <c r="E19" s="13"/>
    </row>
    <row r="20" ht="13.65" customHeight="1">
      <c r="A20" s="10"/>
      <c r="B20" t="s" s="20">
        <v>29</v>
      </c>
      <c r="C20" t="s" s="19">
        <v>30</v>
      </c>
      <c r="D20" s="12"/>
      <c r="E20" s="13"/>
    </row>
    <row r="21" ht="13.65" customHeight="1">
      <c r="A21" s="10"/>
      <c r="B21" t="s" s="19">
        <v>29</v>
      </c>
      <c r="C21" t="s" s="19">
        <v>31</v>
      </c>
      <c r="D21" s="12"/>
      <c r="E21" s="13"/>
    </row>
    <row r="22" ht="13.65" customHeight="1">
      <c r="A22" s="10"/>
      <c r="B22" t="s" s="21">
        <v>29</v>
      </c>
      <c r="C22" t="s" s="19">
        <v>32</v>
      </c>
      <c r="D22" s="12"/>
      <c r="E22" s="13"/>
    </row>
    <row r="23" ht="13.65" customHeight="1">
      <c r="A23" s="22"/>
      <c r="B23" s="23"/>
      <c r="C23" t="s" s="24">
        <v>33</v>
      </c>
      <c r="D23" s="25"/>
      <c r="E2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8"/>
  <sheetViews>
    <sheetView workbookViewId="0" showGridLines="0" defaultGridColor="1"/>
  </sheetViews>
  <sheetFormatPr defaultColWidth="8.83333" defaultRowHeight="15" customHeight="1" outlineLevelRow="0" outlineLevelCol="0"/>
  <cols>
    <col min="1" max="1" width="54" style="27" customWidth="1"/>
    <col min="2" max="2" width="12" style="27" customWidth="1"/>
    <col min="3" max="3" width="14" style="27" customWidth="1"/>
    <col min="4" max="6" width="12" style="27" customWidth="1"/>
    <col min="7" max="7" width="8.85156" style="27" customWidth="1"/>
    <col min="8" max="8" width="74" style="27" customWidth="1"/>
    <col min="9" max="16384" width="8.85156" style="27" customWidth="1"/>
  </cols>
  <sheetData>
    <row r="1" ht="18.5" customHeight="1">
      <c r="A1" t="s" s="28">
        <v>34</v>
      </c>
      <c r="B1" s="8"/>
      <c r="C1" s="8"/>
      <c r="D1" s="8"/>
      <c r="E1" s="8"/>
      <c r="F1" s="8"/>
      <c r="G1" s="8"/>
      <c r="H1" s="9"/>
    </row>
    <row r="2" ht="13.65" customHeight="1">
      <c r="A2" t="s" s="29">
        <v>35</v>
      </c>
      <c r="B2" s="12"/>
      <c r="C2" s="12"/>
      <c r="D2" s="12"/>
      <c r="E2" s="12"/>
      <c r="F2" s="12"/>
      <c r="G2" s="12"/>
      <c r="H2" s="13"/>
    </row>
    <row r="3" ht="13.55" customHeight="1">
      <c r="A3" s="10"/>
      <c r="B3" s="12"/>
      <c r="C3" s="12"/>
      <c r="D3" s="12"/>
      <c r="E3" s="12"/>
      <c r="F3" s="12"/>
      <c r="G3" s="12"/>
      <c r="H3" s="13"/>
    </row>
    <row r="4" ht="13.65" customHeight="1">
      <c r="A4" t="s" s="30">
        <v>36</v>
      </c>
      <c r="B4" t="s" s="31">
        <v>37</v>
      </c>
      <c r="C4" t="s" s="31">
        <v>38</v>
      </c>
      <c r="D4" s="32"/>
      <c r="E4" s="32"/>
      <c r="F4" s="32"/>
      <c r="G4" s="32"/>
      <c r="H4" t="s" s="33">
        <v>39</v>
      </c>
    </row>
    <row r="5" ht="13.65" customHeight="1">
      <c r="A5" t="s" s="34">
        <v>40</v>
      </c>
      <c r="B5" s="35">
        <v>920</v>
      </c>
      <c r="C5" t="s" s="19">
        <v>41</v>
      </c>
      <c r="D5" s="12"/>
      <c r="E5" s="12"/>
      <c r="F5" s="12"/>
      <c r="G5" s="12"/>
      <c r="H5" t="s" s="36">
        <v>42</v>
      </c>
    </row>
    <row r="6" ht="13.65" customHeight="1">
      <c r="A6" t="s" s="34">
        <v>43</v>
      </c>
      <c r="B6" s="35">
        <v>118</v>
      </c>
      <c r="C6" t="s" s="19">
        <v>44</v>
      </c>
      <c r="D6" s="12"/>
      <c r="E6" s="12"/>
      <c r="F6" s="12"/>
      <c r="G6" s="12"/>
      <c r="H6" t="s" s="36">
        <v>45</v>
      </c>
    </row>
    <row r="7" ht="13.65" customHeight="1">
      <c r="A7" t="s" s="34">
        <v>46</v>
      </c>
      <c r="B7" s="37">
        <v>0.16</v>
      </c>
      <c r="C7" t="s" s="19">
        <v>47</v>
      </c>
      <c r="D7" s="12"/>
      <c r="E7" s="12"/>
      <c r="F7" s="12"/>
      <c r="G7" s="12"/>
      <c r="H7" t="s" s="36">
        <v>48</v>
      </c>
    </row>
    <row r="8" ht="13.65" customHeight="1">
      <c r="A8" t="s" s="34">
        <v>49</v>
      </c>
      <c r="B8" s="38">
        <v>9.75</v>
      </c>
      <c r="C8" t="s" s="19">
        <v>50</v>
      </c>
      <c r="D8" s="12"/>
      <c r="E8" s="12"/>
      <c r="F8" s="12"/>
      <c r="G8" s="12"/>
      <c r="H8" t="s" s="36">
        <v>51</v>
      </c>
    </row>
    <row r="9" ht="13.65" customHeight="1">
      <c r="A9" t="s" s="34">
        <v>52</v>
      </c>
      <c r="B9" s="35">
        <v>38</v>
      </c>
      <c r="C9" t="s" s="19">
        <v>53</v>
      </c>
      <c r="D9" s="12"/>
      <c r="E9" s="12"/>
      <c r="F9" s="12"/>
      <c r="G9" s="12"/>
      <c r="H9" t="s" s="36">
        <v>54</v>
      </c>
    </row>
    <row r="10" ht="13.65" customHeight="1">
      <c r="A10" t="s" s="34">
        <v>55</v>
      </c>
      <c r="B10" s="37">
        <v>0.55</v>
      </c>
      <c r="C10" t="s" s="19">
        <v>47</v>
      </c>
      <c r="D10" s="12"/>
      <c r="E10" s="12"/>
      <c r="F10" s="12"/>
      <c r="G10" s="12"/>
      <c r="H10" t="s" s="36">
        <v>56</v>
      </c>
    </row>
    <row r="11" ht="13.65" customHeight="1">
      <c r="A11" t="s" s="34">
        <v>57</v>
      </c>
      <c r="B11" s="35">
        <v>210</v>
      </c>
      <c r="C11" t="s" s="19">
        <v>58</v>
      </c>
      <c r="D11" s="12"/>
      <c r="E11" s="12"/>
      <c r="F11" s="12"/>
      <c r="G11" s="12"/>
      <c r="H11" t="s" s="36">
        <v>59</v>
      </c>
    </row>
    <row r="12" ht="13.65" customHeight="1">
      <c r="A12" t="s" s="34">
        <v>60</v>
      </c>
      <c r="B12" s="39">
        <v>420</v>
      </c>
      <c r="C12" t="s" s="19">
        <v>61</v>
      </c>
      <c r="D12" s="12"/>
      <c r="E12" s="12"/>
      <c r="F12" s="12"/>
      <c r="G12" s="12"/>
      <c r="H12" t="s" s="36">
        <v>62</v>
      </c>
    </row>
    <row r="13" ht="13.65" customHeight="1">
      <c r="A13" t="s" s="34">
        <v>63</v>
      </c>
      <c r="B13" s="38">
        <v>4.5</v>
      </c>
      <c r="C13" t="s" s="19">
        <v>64</v>
      </c>
      <c r="D13" s="12"/>
      <c r="E13" s="12"/>
      <c r="F13" s="12"/>
      <c r="G13" s="12"/>
      <c r="H13" t="s" s="36">
        <v>65</v>
      </c>
    </row>
    <row r="14" ht="13.65" customHeight="1">
      <c r="A14" t="s" s="34">
        <v>66</v>
      </c>
      <c r="B14" s="35">
        <v>6.8</v>
      </c>
      <c r="C14" t="s" s="19">
        <v>67</v>
      </c>
      <c r="D14" s="12"/>
      <c r="E14" s="12"/>
      <c r="F14" s="12"/>
      <c r="G14" s="12"/>
      <c r="H14" t="s" s="36">
        <v>68</v>
      </c>
    </row>
    <row r="15" ht="13.65" customHeight="1">
      <c r="A15" t="s" s="34">
        <v>69</v>
      </c>
      <c r="B15" s="37">
        <v>0.07000000000000001</v>
      </c>
      <c r="C15" t="s" s="19">
        <v>47</v>
      </c>
      <c r="D15" s="12"/>
      <c r="E15" s="12"/>
      <c r="F15" s="12"/>
      <c r="G15" s="12"/>
      <c r="H15" t="s" s="36">
        <v>70</v>
      </c>
    </row>
    <row r="16" ht="13.65" customHeight="1">
      <c r="A16" t="s" s="34">
        <v>71</v>
      </c>
      <c r="B16" s="37">
        <v>0.11</v>
      </c>
      <c r="C16" t="s" s="19">
        <v>47</v>
      </c>
      <c r="D16" s="12"/>
      <c r="E16" s="12"/>
      <c r="F16" s="12"/>
      <c r="G16" s="12"/>
      <c r="H16" t="s" s="36">
        <v>70</v>
      </c>
    </row>
    <row r="17" ht="13.65" customHeight="1">
      <c r="A17" t="s" s="34">
        <v>72</v>
      </c>
      <c r="B17" s="37">
        <v>0.18</v>
      </c>
      <c r="C17" t="s" s="19">
        <v>47</v>
      </c>
      <c r="D17" s="12"/>
      <c r="E17" s="12"/>
      <c r="F17" s="12"/>
      <c r="G17" s="12"/>
      <c r="H17" t="s" s="36">
        <v>70</v>
      </c>
    </row>
    <row r="18" ht="13.65" customHeight="1">
      <c r="A18" t="s" s="34">
        <v>73</v>
      </c>
      <c r="B18" s="37">
        <v>0.025</v>
      </c>
      <c r="C18" t="s" s="19">
        <v>47</v>
      </c>
      <c r="D18" s="12"/>
      <c r="E18" s="12"/>
      <c r="F18" s="12"/>
      <c r="G18" s="12"/>
      <c r="H18" t="s" s="36">
        <v>70</v>
      </c>
    </row>
    <row r="19" ht="13.65" customHeight="1">
      <c r="A19" t="s" s="34">
        <v>74</v>
      </c>
      <c r="B19" s="37">
        <v>0.03</v>
      </c>
      <c r="C19" t="s" s="19">
        <v>47</v>
      </c>
      <c r="D19" s="12"/>
      <c r="E19" s="12"/>
      <c r="F19" s="12"/>
      <c r="G19" s="12"/>
      <c r="H19" t="s" s="36">
        <v>75</v>
      </c>
    </row>
    <row r="20" ht="13.65" customHeight="1">
      <c r="A20" t="s" s="34">
        <v>76</v>
      </c>
      <c r="B20" s="37">
        <v>0.16</v>
      </c>
      <c r="C20" t="s" s="19">
        <v>47</v>
      </c>
      <c r="D20" s="12"/>
      <c r="E20" s="12"/>
      <c r="F20" s="12"/>
      <c r="G20" s="12"/>
      <c r="H20" t="s" s="36">
        <v>77</v>
      </c>
    </row>
    <row r="21" ht="13.55" customHeight="1">
      <c r="A21" s="10"/>
      <c r="B21" s="12"/>
      <c r="C21" s="12"/>
      <c r="D21" s="12"/>
      <c r="E21" s="12"/>
      <c r="F21" s="12"/>
      <c r="G21" s="12"/>
      <c r="H21" s="13"/>
    </row>
    <row r="22" ht="13.65" customHeight="1">
      <c r="A22" t="s" s="30">
        <v>78</v>
      </c>
      <c r="B22" s="32"/>
      <c r="C22" s="32"/>
      <c r="D22" s="32"/>
      <c r="E22" s="32"/>
      <c r="F22" s="32"/>
      <c r="G22" s="32"/>
      <c r="H22" s="40"/>
    </row>
    <row r="23" ht="13.65" customHeight="1">
      <c r="A23" t="s" s="34">
        <v>79</v>
      </c>
      <c r="B23" s="41">
        <v>334.11</v>
      </c>
      <c r="C23" t="s" s="19">
        <v>53</v>
      </c>
      <c r="D23" s="12"/>
      <c r="E23" s="12"/>
      <c r="F23" s="12"/>
      <c r="G23" s="12"/>
      <c r="H23" t="s" s="36">
        <v>80</v>
      </c>
    </row>
    <row r="24" ht="13.65" customHeight="1">
      <c r="A24" t="s" s="34">
        <v>81</v>
      </c>
      <c r="B24" s="38">
        <v>2.64</v>
      </c>
      <c r="C24" t="s" s="19">
        <v>64</v>
      </c>
      <c r="D24" s="12"/>
      <c r="E24" s="12"/>
      <c r="F24" s="12"/>
      <c r="G24" s="12"/>
      <c r="H24" t="s" s="36">
        <v>82</v>
      </c>
    </row>
    <row r="25" ht="13.65" customHeight="1">
      <c r="A25" t="s" s="34">
        <v>83</v>
      </c>
      <c r="B25" s="42">
        <v>5.351</v>
      </c>
      <c r="C25" t="s" s="19">
        <v>84</v>
      </c>
      <c r="D25" s="12"/>
      <c r="E25" s="12"/>
      <c r="F25" s="12"/>
      <c r="G25" s="12"/>
      <c r="H25" t="s" s="36">
        <v>85</v>
      </c>
    </row>
    <row r="26" ht="13.65" customHeight="1">
      <c r="A26" t="s" s="34">
        <v>86</v>
      </c>
      <c r="B26" s="37">
        <v>0</v>
      </c>
      <c r="C26" t="s" s="19">
        <v>47</v>
      </c>
      <c r="D26" s="12"/>
      <c r="E26" s="12"/>
      <c r="F26" s="12"/>
      <c r="G26" s="12"/>
      <c r="H26" t="s" s="36">
        <v>87</v>
      </c>
    </row>
    <row r="27" ht="13.65" customHeight="1">
      <c r="A27" t="s" s="34">
        <v>88</v>
      </c>
      <c r="B27" s="37">
        <v>0.21</v>
      </c>
      <c r="C27" t="s" s="19">
        <v>47</v>
      </c>
      <c r="D27" s="12"/>
      <c r="E27" s="12"/>
      <c r="F27" s="12"/>
      <c r="G27" s="12"/>
      <c r="H27" t="s" s="36">
        <v>89</v>
      </c>
    </row>
    <row r="28" ht="13.55" customHeight="1">
      <c r="A28" s="10"/>
      <c r="B28" s="12"/>
      <c r="C28" s="12"/>
      <c r="D28" s="12"/>
      <c r="E28" s="12"/>
      <c r="F28" s="12"/>
      <c r="G28" s="12"/>
      <c r="H28" s="13"/>
    </row>
    <row r="29" ht="13.65" customHeight="1">
      <c r="A29" t="s" s="30">
        <v>90</v>
      </c>
      <c r="B29" s="32"/>
      <c r="C29" s="32"/>
      <c r="D29" s="32"/>
      <c r="E29" s="32"/>
      <c r="F29" s="32"/>
      <c r="G29" s="32"/>
      <c r="H29" s="40"/>
    </row>
    <row r="30" ht="13.65" customHeight="1">
      <c r="A30" t="s" s="34">
        <v>91</v>
      </c>
      <c r="B30" s="35">
        <v>380</v>
      </c>
      <c r="C30" t="s" s="19">
        <v>41</v>
      </c>
      <c r="D30" s="12"/>
      <c r="E30" s="12"/>
      <c r="F30" s="12"/>
      <c r="G30" s="12"/>
      <c r="H30" t="s" s="36">
        <v>92</v>
      </c>
    </row>
    <row r="31" ht="13.65" customHeight="1">
      <c r="A31" t="s" s="34">
        <v>93</v>
      </c>
      <c r="B31" s="37">
        <v>0.05</v>
      </c>
      <c r="C31" t="s" s="19">
        <v>47</v>
      </c>
      <c r="D31" s="12"/>
      <c r="E31" s="12"/>
      <c r="F31" s="12"/>
      <c r="G31" s="12"/>
      <c r="H31" t="s" s="36">
        <v>94</v>
      </c>
    </row>
    <row r="32" ht="13.65" customHeight="1">
      <c r="A32" t="s" s="34">
        <v>95</v>
      </c>
      <c r="B32" s="43">
        <v>0.0366</v>
      </c>
      <c r="C32" t="s" s="19">
        <v>47</v>
      </c>
      <c r="D32" s="12"/>
      <c r="E32" s="12"/>
      <c r="F32" s="12"/>
      <c r="G32" s="12"/>
      <c r="H32" t="s" s="36">
        <v>96</v>
      </c>
    </row>
    <row r="33" ht="13.65" customHeight="1">
      <c r="A33" t="s" s="34">
        <v>97</v>
      </c>
      <c r="B33" s="43">
        <v>0.03</v>
      </c>
      <c r="C33" t="s" s="19">
        <v>47</v>
      </c>
      <c r="D33" s="12"/>
      <c r="E33" s="12"/>
      <c r="F33" s="12"/>
      <c r="G33" s="12"/>
      <c r="H33" t="s" s="36">
        <v>94</v>
      </c>
    </row>
    <row r="34" ht="13.65" customHeight="1">
      <c r="A34" t="s" s="34">
        <v>98</v>
      </c>
      <c r="B34" s="35">
        <v>58</v>
      </c>
      <c r="C34" t="s" s="19">
        <v>41</v>
      </c>
      <c r="D34" s="12"/>
      <c r="E34" s="12"/>
      <c r="F34" s="12"/>
      <c r="G34" s="12"/>
      <c r="H34" t="s" s="36">
        <v>99</v>
      </c>
    </row>
    <row r="35" ht="13.55" customHeight="1">
      <c r="A35" s="10"/>
      <c r="B35" s="12"/>
      <c r="C35" s="12"/>
      <c r="D35" s="12"/>
      <c r="E35" s="12"/>
      <c r="F35" s="12"/>
      <c r="G35" s="12"/>
      <c r="H35" s="13"/>
    </row>
    <row r="36" ht="13.65" customHeight="1">
      <c r="A36" t="s" s="30">
        <v>100</v>
      </c>
      <c r="B36" t="s" s="44">
        <v>101</v>
      </c>
      <c r="C36" t="s" s="44">
        <v>102</v>
      </c>
      <c r="D36" t="s" s="44">
        <v>103</v>
      </c>
      <c r="E36" t="s" s="44">
        <v>104</v>
      </c>
      <c r="F36" t="s" s="44">
        <v>105</v>
      </c>
      <c r="G36" s="32"/>
      <c r="H36" s="40"/>
    </row>
    <row r="37" ht="13.65" customHeight="1">
      <c r="A37" t="s" s="34">
        <v>106</v>
      </c>
      <c r="B37" s="37">
        <v>0.04</v>
      </c>
      <c r="C37" s="37">
        <v>0.045</v>
      </c>
      <c r="D37" s="37">
        <v>0.045</v>
      </c>
      <c r="E37" s="37">
        <v>0.04</v>
      </c>
      <c r="F37" s="37">
        <v>0.04</v>
      </c>
      <c r="G37" s="12"/>
      <c r="H37" t="s" s="36">
        <v>107</v>
      </c>
    </row>
    <row r="38" ht="13.65" customHeight="1">
      <c r="A38" t="s" s="45">
        <v>108</v>
      </c>
      <c r="B38" s="46">
        <v>0.03</v>
      </c>
      <c r="C38" s="46">
        <v>0.03</v>
      </c>
      <c r="D38" s="46">
        <v>0.025</v>
      </c>
      <c r="E38" s="46">
        <v>0.025</v>
      </c>
      <c r="F38" s="46">
        <v>0.025</v>
      </c>
      <c r="G38" s="25"/>
      <c r="H38" t="s" s="47">
        <v>109</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39"/>
  <sheetViews>
    <sheetView workbookViewId="0" showGridLines="0" defaultGridColor="1"/>
  </sheetViews>
  <sheetFormatPr defaultColWidth="8.83333" defaultRowHeight="15" customHeight="1" outlineLevelRow="0" outlineLevelCol="0"/>
  <cols>
    <col min="1" max="1" width="46" style="48" customWidth="1"/>
    <col min="2" max="7" width="12" style="48" customWidth="1"/>
    <col min="8" max="16384" width="8.85156" style="48" customWidth="1"/>
  </cols>
  <sheetData>
    <row r="1" ht="18.5" customHeight="1">
      <c r="A1" t="s" s="28">
        <v>110</v>
      </c>
      <c r="B1" s="8"/>
      <c r="C1" s="8"/>
      <c r="D1" s="8"/>
      <c r="E1" s="8"/>
      <c r="F1" s="8"/>
      <c r="G1" s="9"/>
    </row>
    <row r="2" ht="13.65" customHeight="1">
      <c r="A2" t="s" s="29">
        <v>16</v>
      </c>
      <c r="B2" s="12"/>
      <c r="C2" s="12"/>
      <c r="D2" s="12"/>
      <c r="E2" s="12"/>
      <c r="F2" s="12"/>
      <c r="G2" s="13"/>
    </row>
    <row r="3" ht="13.55" customHeight="1">
      <c r="A3" s="10"/>
      <c r="B3" s="12"/>
      <c r="C3" s="12"/>
      <c r="D3" s="12"/>
      <c r="E3" s="12"/>
      <c r="F3" s="12"/>
      <c r="G3" s="13"/>
    </row>
    <row r="4" ht="13.65" customHeight="1">
      <c r="A4" s="49"/>
      <c r="B4" t="s" s="44">
        <v>111</v>
      </c>
      <c r="C4" t="s" s="44">
        <v>101</v>
      </c>
      <c r="D4" t="s" s="44">
        <v>102</v>
      </c>
      <c r="E4" t="s" s="44">
        <v>103</v>
      </c>
      <c r="F4" t="s" s="44">
        <v>104</v>
      </c>
      <c r="G4" t="s" s="50">
        <v>105</v>
      </c>
    </row>
    <row r="5" ht="13.65" customHeight="1">
      <c r="A5" t="s" s="34">
        <v>112</v>
      </c>
      <c r="B5" s="12"/>
      <c r="C5" s="51">
        <f>'Assumptions'!B37</f>
        <v>0.04</v>
      </c>
      <c r="D5" s="51">
        <f>'Assumptions'!C37</f>
        <v>0.045</v>
      </c>
      <c r="E5" s="51">
        <f>'Assumptions'!D37</f>
        <v>0.045</v>
      </c>
      <c r="F5" s="51">
        <f>'Assumptions'!E37</f>
        <v>0.04</v>
      </c>
      <c r="G5" s="52">
        <f>'Assumptions'!F37</f>
        <v>0.04</v>
      </c>
    </row>
    <row r="6" ht="13.65" customHeight="1">
      <c r="A6" t="s" s="34">
        <v>113</v>
      </c>
      <c r="B6" s="12"/>
      <c r="C6" s="51">
        <f>'Assumptions'!B38</f>
        <v>0.03</v>
      </c>
      <c r="D6" s="51">
        <f>'Assumptions'!C38</f>
        <v>0.03</v>
      </c>
      <c r="E6" s="51">
        <f>'Assumptions'!D38</f>
        <v>0.025</v>
      </c>
      <c r="F6" s="51">
        <f>'Assumptions'!E38</f>
        <v>0.025</v>
      </c>
      <c r="G6" s="52">
        <f>'Assumptions'!F38</f>
        <v>0.025</v>
      </c>
    </row>
    <row r="7" ht="13.65" customHeight="1">
      <c r="A7" t="s" s="34">
        <v>114</v>
      </c>
      <c r="B7" s="12"/>
      <c r="C7" s="53">
        <f>'Assumptions'!$B$6</f>
        <v>118</v>
      </c>
      <c r="D7" s="53">
        <f>C7*(1+'Assumptions'!C37)</f>
        <v>123.31</v>
      </c>
      <c r="E7" s="53">
        <f>D7*(1+'Assumptions'!D37)</f>
        <v>128.85895</v>
      </c>
      <c r="F7" s="53">
        <f>E7*(1+'Assumptions'!E37)</f>
        <v>134.013308</v>
      </c>
      <c r="G7" s="54">
        <f>F7*(1+'Assumptions'!F37)</f>
        <v>139.37384032</v>
      </c>
    </row>
    <row r="8" ht="13.65" customHeight="1">
      <c r="A8" t="s" s="34">
        <v>115</v>
      </c>
      <c r="B8" s="12"/>
      <c r="C8" s="53">
        <f>C7*(1-'Assumptions'!$B$7)</f>
        <v>99.12</v>
      </c>
      <c r="D8" s="53">
        <f>D7*(1-'Assumptions'!$B$7)</f>
        <v>103.5804</v>
      </c>
      <c r="E8" s="53">
        <f>E7*(1-'Assumptions'!$B$7)</f>
        <v>108.241518</v>
      </c>
      <c r="F8" s="53">
        <f>F7*(1-'Assumptions'!$B$7)</f>
        <v>112.57117872</v>
      </c>
      <c r="G8" s="54">
        <f>G7*(1-'Assumptions'!$B$7)</f>
        <v>117.0740258688</v>
      </c>
    </row>
    <row r="9" ht="13.65" customHeight="1">
      <c r="A9" t="s" s="34">
        <v>116</v>
      </c>
      <c r="B9" s="12"/>
      <c r="C9" s="55">
        <f>'Assumptions'!$B$8</f>
        <v>9.75</v>
      </c>
      <c r="D9" s="55">
        <f>C9*(1+'Assumptions'!C38)</f>
        <v>10.0425</v>
      </c>
      <c r="E9" s="55">
        <f>D9*(1+'Assumptions'!D38)</f>
        <v>10.2935625</v>
      </c>
      <c r="F9" s="55">
        <f>E9*(1+'Assumptions'!E38)</f>
        <v>10.5509015625</v>
      </c>
      <c r="G9" s="56">
        <f>F9*(1+'Assumptions'!F38)</f>
        <v>10.8146741015625</v>
      </c>
    </row>
    <row r="10" ht="13.65" customHeight="1">
      <c r="A10" t="s" s="57">
        <v>117</v>
      </c>
      <c r="B10" s="58">
        <f>'Assumptions'!B5</f>
        <v>920</v>
      </c>
      <c r="C10" s="59">
        <f>C8*C9</f>
        <v>966.42</v>
      </c>
      <c r="D10" s="59">
        <f>D8*D9</f>
        <v>1040.206167</v>
      </c>
      <c r="E10" s="59">
        <f>E8*E9</f>
        <v>1114.190830627880</v>
      </c>
      <c r="F10" s="59">
        <f>F8*F9</f>
        <v>1187.727425449310</v>
      </c>
      <c r="G10" s="60">
        <f>G8*G9</f>
        <v>1266.117435528970</v>
      </c>
    </row>
    <row r="11" ht="13.55" customHeight="1">
      <c r="A11" s="10"/>
      <c r="B11" s="12"/>
      <c r="C11" s="12"/>
      <c r="D11" s="12"/>
      <c r="E11" s="12"/>
      <c r="F11" s="12"/>
      <c r="G11" s="13"/>
    </row>
    <row r="12" ht="13.65" customHeight="1">
      <c r="A12" t="s" s="57">
        <v>118</v>
      </c>
      <c r="B12" s="12"/>
      <c r="C12" s="12"/>
      <c r="D12" s="12"/>
      <c r="E12" s="12"/>
      <c r="F12" s="12"/>
      <c r="G12" s="13"/>
    </row>
    <row r="13" ht="13.65" customHeight="1">
      <c r="A13" t="s" s="34">
        <v>119</v>
      </c>
      <c r="B13" s="12"/>
      <c r="C13" s="53">
        <f>C7*('Assumptions'!$B$23+'Assumptions'!$B$9)/100</f>
        <v>439.0898</v>
      </c>
      <c r="D13" s="53">
        <f>D7*('Assumptions'!$B$23+'Assumptions'!$B$9)/100</f>
        <v>458.848841</v>
      </c>
      <c r="E13" s="53">
        <f>E7*('Assumptions'!$B$23+'Assumptions'!$B$9)/100</f>
        <v>479.497038845</v>
      </c>
      <c r="F13" s="53">
        <f>F7*('Assumptions'!$B$23+'Assumptions'!$B$9)/100</f>
        <v>498.6769203988</v>
      </c>
      <c r="G13" s="54">
        <f>G7*('Assumptions'!$B$23+'Assumptions'!$B$9)/100</f>
        <v>518.623997214752</v>
      </c>
    </row>
    <row r="14" ht="13.65" customHeight="1">
      <c r="A14" t="s" s="34">
        <v>120</v>
      </c>
      <c r="B14" s="12"/>
      <c r="C14" s="53">
        <f>C13*'Assumptions'!$B$10*'Assumptions'!$B$26</f>
        <v>0</v>
      </c>
      <c r="D14" s="53">
        <f>D13*'Assumptions'!$B$10*'Assumptions'!$B$26</f>
        <v>0</v>
      </c>
      <c r="E14" s="53">
        <f>E13*'Assumptions'!$B$10*'Assumptions'!$B$26</f>
        <v>0</v>
      </c>
      <c r="F14" s="53">
        <f>F13*'Assumptions'!$B$10*'Assumptions'!$B$26</f>
        <v>0</v>
      </c>
      <c r="G14" s="54">
        <f>G13*'Assumptions'!$B$10*'Assumptions'!$B$26</f>
        <v>0</v>
      </c>
    </row>
    <row r="15" ht="13.65" customHeight="1">
      <c r="A15" t="s" s="34">
        <v>121</v>
      </c>
      <c r="B15" s="12"/>
      <c r="C15" s="53">
        <f>'Assumptions'!$B$11</f>
        <v>210</v>
      </c>
      <c r="D15" s="53">
        <f>C15*(1+'Assumptions'!C37)</f>
        <v>219.45</v>
      </c>
      <c r="E15" s="53">
        <f>D15*(1+'Assumptions'!D37)</f>
        <v>229.32525</v>
      </c>
      <c r="F15" s="53">
        <f>E15*(1+'Assumptions'!E37)</f>
        <v>238.49826</v>
      </c>
      <c r="G15" s="54">
        <f>F15*(1+'Assumptions'!F37)</f>
        <v>248.0381904</v>
      </c>
    </row>
    <row r="16" ht="13.65" customHeight="1">
      <c r="A16" t="s" s="34">
        <v>122</v>
      </c>
      <c r="B16" s="12"/>
      <c r="C16" s="53">
        <f>C15/4.9792</f>
        <v>42.1754498714653</v>
      </c>
      <c r="D16" s="53">
        <f>D15/4.9792</f>
        <v>44.0733451156812</v>
      </c>
      <c r="E16" s="53">
        <f>E15/4.9792</f>
        <v>46.0566456458869</v>
      </c>
      <c r="F16" s="53">
        <f>F15/4.9792</f>
        <v>47.8989114717224</v>
      </c>
      <c r="G16" s="54">
        <f>G15/4.9792</f>
        <v>49.8148679305913</v>
      </c>
    </row>
    <row r="17" ht="13.65" customHeight="1">
      <c r="A17" t="s" s="34">
        <v>123</v>
      </c>
      <c r="B17" s="12"/>
      <c r="C17" s="61">
        <f>'Assumptions'!$B$12</f>
        <v>420</v>
      </c>
      <c r="D17" s="61">
        <f>C17*(1+'Assumptions'!C37)</f>
        <v>438.9</v>
      </c>
      <c r="E17" s="61">
        <f>D17*(1+'Assumptions'!D37)</f>
        <v>458.6505</v>
      </c>
      <c r="F17" s="61">
        <f>E17*(1+'Assumptions'!E37)</f>
        <v>476.99652</v>
      </c>
      <c r="G17" s="62">
        <f>F17*(1+'Assumptions'!F37)</f>
        <v>496.0763808</v>
      </c>
    </row>
    <row r="18" ht="13.65" customHeight="1">
      <c r="A18" t="s" s="34">
        <v>124</v>
      </c>
      <c r="B18" s="12"/>
      <c r="C18" s="53">
        <f>C17*('Assumptions'!$B$24+'Assumptions'!$B$13)/1000</f>
        <v>2.9988</v>
      </c>
      <c r="D18" s="53">
        <f>D17*('Assumptions'!$B$24+'Assumptions'!$B$13)/1000</f>
        <v>3.133746</v>
      </c>
      <c r="E18" s="53">
        <f>E17*('Assumptions'!$B$24+'Assumptions'!$B$13)/1000</f>
        <v>3.27476457</v>
      </c>
      <c r="F18" s="53">
        <f>F17*('Assumptions'!$B$24+'Assumptions'!$B$13)/1000</f>
        <v>3.4057551528</v>
      </c>
      <c r="G18" s="54">
        <f>G17*('Assumptions'!$B$24+'Assumptions'!$B$13)/1000</f>
        <v>3.541985358912</v>
      </c>
    </row>
    <row r="19" ht="13.65" customHeight="1">
      <c r="A19" t="s" s="34">
        <v>125</v>
      </c>
      <c r="B19" s="12"/>
      <c r="C19" s="53">
        <f>'Assumptions'!$B$14</f>
        <v>6.8</v>
      </c>
      <c r="D19" s="53">
        <f>C19*(1+'Assumptions'!C37)</f>
        <v>7.106</v>
      </c>
      <c r="E19" s="53">
        <f>D19*(1+'Assumptions'!D37)</f>
        <v>7.42577</v>
      </c>
      <c r="F19" s="53">
        <f>E19*(1+'Assumptions'!E37)</f>
        <v>7.7228008</v>
      </c>
      <c r="G19" s="54">
        <f>F19*(1+'Assumptions'!F37)</f>
        <v>8.031712832</v>
      </c>
    </row>
    <row r="20" ht="13.65" customHeight="1">
      <c r="A20" t="s" s="34">
        <v>126</v>
      </c>
      <c r="B20" s="12"/>
      <c r="C20" s="53">
        <f>C19*'Assumptions'!$B$25</f>
        <v>36.3868</v>
      </c>
      <c r="D20" s="53">
        <f>D19*'Assumptions'!$B$25</f>
        <v>38.024206</v>
      </c>
      <c r="E20" s="53">
        <f>E19*'Assumptions'!$B$25</f>
        <v>39.73529527</v>
      </c>
      <c r="F20" s="53">
        <f>F19*'Assumptions'!$B$25</f>
        <v>41.3247070808</v>
      </c>
      <c r="G20" s="54">
        <f>G19*'Assumptions'!$B$25</f>
        <v>42.977695364032</v>
      </c>
    </row>
    <row r="21" ht="13.65" customHeight="1">
      <c r="A21" t="s" s="34">
        <v>127</v>
      </c>
      <c r="B21" s="12"/>
      <c r="C21" s="53">
        <f>C10*'Assumptions'!$B$15</f>
        <v>67.6494</v>
      </c>
      <c r="D21" s="53">
        <f>D10*'Assumptions'!$B$15</f>
        <v>72.81443169000001</v>
      </c>
      <c r="E21" s="53">
        <f>E10*'Assumptions'!$B$15</f>
        <v>77.9933581439516</v>
      </c>
      <c r="F21" s="53">
        <f>F10*'Assumptions'!$B$15</f>
        <v>83.1409197814517</v>
      </c>
      <c r="G21" s="54">
        <f>G10*'Assumptions'!$B$15</f>
        <v>88.6282204870279</v>
      </c>
    </row>
    <row r="22" ht="13.65" customHeight="1">
      <c r="A22" t="s" s="63">
        <v>128</v>
      </c>
      <c r="B22" s="12"/>
      <c r="C22" s="64">
        <f>C10*'Assumptions'!$B$16</f>
        <v>106.3062</v>
      </c>
      <c r="D22" s="64">
        <f>D10*'Assumptions'!$B$16</f>
        <v>114.42267837</v>
      </c>
      <c r="E22" s="64">
        <f>E10*'Assumptions'!$B$16</f>
        <v>122.560991369067</v>
      </c>
      <c r="F22" s="64">
        <f>F10*'Assumptions'!$B$16</f>
        <v>130.650016799424</v>
      </c>
      <c r="G22" s="65">
        <f>G10*'Assumptions'!$B$16</f>
        <v>139.272917908187</v>
      </c>
    </row>
    <row r="23" ht="13.65" customHeight="1">
      <c r="A23" t="s" s="66">
        <v>129</v>
      </c>
      <c r="B23" s="12"/>
      <c r="C23" s="67">
        <f>C13+C14+C16+C18+C20+C21+C22</f>
        <v>694.606449871465</v>
      </c>
      <c r="D23" s="67">
        <f>D13+D14+D16+D18+D20+D21+D22</f>
        <v>731.317248175681</v>
      </c>
      <c r="E23" s="67">
        <f>E13+E14+E16+E18+E20+E21+E22</f>
        <v>769.118093843906</v>
      </c>
      <c r="F23" s="67">
        <f>F13+F14+F16+F18+F20+F21+F22</f>
        <v>805.097230684998</v>
      </c>
      <c r="G23" s="68">
        <f>G13+G14+G16+G18+G20+G21+G22</f>
        <v>842.859684263502</v>
      </c>
    </row>
    <row r="24" ht="13.65" customHeight="1">
      <c r="A24" t="s" s="57">
        <v>130</v>
      </c>
      <c r="B24" s="12"/>
      <c r="C24" s="59">
        <f>C10-C23</f>
        <v>271.813550128535</v>
      </c>
      <c r="D24" s="59">
        <f>D10-D23</f>
        <v>308.888918824319</v>
      </c>
      <c r="E24" s="59">
        <f>E10-E23</f>
        <v>345.072736783974</v>
      </c>
      <c r="F24" s="59">
        <f>F10-F23</f>
        <v>382.630194764312</v>
      </c>
      <c r="G24" s="60">
        <f>G10-G23</f>
        <v>423.257751265468</v>
      </c>
    </row>
    <row r="25" ht="13.65" customHeight="1">
      <c r="A25" t="s" s="34">
        <v>131</v>
      </c>
      <c r="B25" s="12"/>
      <c r="C25" s="69">
        <f>C24/C10</f>
        <v>0.281258200501371</v>
      </c>
      <c r="D25" s="69">
        <f>D24/D10</f>
        <v>0.296949709224632</v>
      </c>
      <c r="E25" s="69">
        <f>E24/E10</f>
        <v>0.309707033389886</v>
      </c>
      <c r="F25" s="69">
        <f>F24/F10</f>
        <v>0.322153203307203</v>
      </c>
      <c r="G25" s="70">
        <f>G24/G10</f>
        <v>0.33429580810459</v>
      </c>
    </row>
    <row r="26" ht="13.65" customHeight="1">
      <c r="A26" t="s" s="63">
        <v>132</v>
      </c>
      <c r="B26" s="12"/>
      <c r="C26" s="64">
        <f>C10*'Assumptions'!$B$17</f>
        <v>173.9556</v>
      </c>
      <c r="D26" s="64">
        <f>D10*'Assumptions'!$B$17</f>
        <v>187.23711006</v>
      </c>
      <c r="E26" s="64">
        <f>E10*'Assumptions'!$B$17</f>
        <v>200.554349513018</v>
      </c>
      <c r="F26" s="64">
        <f>F10*'Assumptions'!$B$17</f>
        <v>213.790936580876</v>
      </c>
      <c r="G26" s="65">
        <f>G10*'Assumptions'!$B$17</f>
        <v>227.901138395215</v>
      </c>
    </row>
    <row r="27" ht="13.65" customHeight="1">
      <c r="A27" t="s" s="71">
        <v>133</v>
      </c>
      <c r="B27" s="12"/>
      <c r="C27" s="72">
        <f>C24-C26</f>
        <v>97.85795012853499</v>
      </c>
      <c r="D27" s="72">
        <f>D24-D26</f>
        <v>121.651808764319</v>
      </c>
      <c r="E27" s="72">
        <f>E24-E26</f>
        <v>144.518387270956</v>
      </c>
      <c r="F27" s="72">
        <f>F24-F26</f>
        <v>168.839258183436</v>
      </c>
      <c r="G27" s="73">
        <f>G24-G26</f>
        <v>195.356612870253</v>
      </c>
    </row>
    <row r="28" ht="13.65" customHeight="1">
      <c r="A28" t="s" s="34">
        <v>134</v>
      </c>
      <c r="B28" s="12"/>
      <c r="C28" s="69">
        <f>C27/C10</f>
        <v>0.101258200501371</v>
      </c>
      <c r="D28" s="69">
        <f>D27/D10</f>
        <v>0.116949709224632</v>
      </c>
      <c r="E28" s="69">
        <f>E27/E10</f>
        <v>0.129707033389887</v>
      </c>
      <c r="F28" s="69">
        <f>F27/F10</f>
        <v>0.142153203307203</v>
      </c>
      <c r="G28" s="70">
        <f>G27/G10</f>
        <v>0.15429580810459</v>
      </c>
    </row>
    <row r="29" ht="13.65" customHeight="1">
      <c r="A29" t="s" s="63">
        <v>135</v>
      </c>
      <c r="B29" s="12"/>
      <c r="C29" s="64">
        <f>C10*'Assumptions'!$B$18</f>
        <v>24.1605</v>
      </c>
      <c r="D29" s="64">
        <f>D10*'Assumptions'!$B$18</f>
        <v>26.005154175</v>
      </c>
      <c r="E29" s="64">
        <f>E10*'Assumptions'!$B$18</f>
        <v>27.854770765697</v>
      </c>
      <c r="F29" s="64">
        <f>F10*'Assumptions'!$B$18</f>
        <v>29.6931856362328</v>
      </c>
      <c r="G29" s="65">
        <f>G10*'Assumptions'!$B$18</f>
        <v>31.6529358882243</v>
      </c>
    </row>
    <row r="30" ht="13.65" customHeight="1">
      <c r="A30" t="s" s="71">
        <v>136</v>
      </c>
      <c r="B30" s="12"/>
      <c r="C30" s="74">
        <f>C27-C29</f>
        <v>73.697450128535</v>
      </c>
      <c r="D30" s="74">
        <f>D27-D29</f>
        <v>95.646654589319</v>
      </c>
      <c r="E30" s="74">
        <f>E27-E29</f>
        <v>116.663616505259</v>
      </c>
      <c r="F30" s="74">
        <f>F27-F29</f>
        <v>139.146072547203</v>
      </c>
      <c r="G30" s="75">
        <f>G27-G29</f>
        <v>163.703676982029</v>
      </c>
    </row>
    <row r="31" ht="13.55" customHeight="1">
      <c r="A31" s="10"/>
      <c r="B31" s="12"/>
      <c r="C31" s="12"/>
      <c r="D31" s="12"/>
      <c r="E31" s="12"/>
      <c r="F31" s="12"/>
      <c r="G31" s="13"/>
    </row>
    <row r="32" ht="13.65" customHeight="1">
      <c r="A32" t="s" s="57">
        <v>90</v>
      </c>
      <c r="B32" s="12"/>
      <c r="C32" s="12"/>
      <c r="D32" s="12"/>
      <c r="E32" s="12"/>
      <c r="F32" s="12"/>
      <c r="G32" s="13"/>
    </row>
    <row r="33" ht="13.65" customHeight="1">
      <c r="A33" t="s" s="34">
        <v>137</v>
      </c>
      <c r="B33" s="12"/>
      <c r="C33" s="53">
        <f>'Assumptions'!$B$30</f>
        <v>380</v>
      </c>
      <c r="D33" s="53">
        <f>C34</f>
        <v>361</v>
      </c>
      <c r="E33" s="53">
        <f>D34</f>
        <v>342</v>
      </c>
      <c r="F33" s="53">
        <f>E34</f>
        <v>323</v>
      </c>
      <c r="G33" s="54">
        <f>F34</f>
        <v>304</v>
      </c>
    </row>
    <row r="34" ht="13.65" customHeight="1">
      <c r="A34" t="s" s="34">
        <v>138</v>
      </c>
      <c r="B34" s="12"/>
      <c r="C34" s="53">
        <f>MAX(C33-'Assumptions'!$B$30*'Assumptions'!$B$31,0)</f>
        <v>361</v>
      </c>
      <c r="D34" s="53">
        <f>MAX(D33-'Assumptions'!$B$30*'Assumptions'!$B$31,0)</f>
        <v>342</v>
      </c>
      <c r="E34" s="53">
        <f>MAX(E33-'Assumptions'!$B$30*'Assumptions'!$B$31,0)</f>
        <v>323</v>
      </c>
      <c r="F34" s="53">
        <f>MAX(F33-'Assumptions'!$B$30*'Assumptions'!$B$31,0)</f>
        <v>304</v>
      </c>
      <c r="G34" s="54">
        <f>MAX(G33-'Assumptions'!$B$30*'Assumptions'!$B$31,0)</f>
        <v>285</v>
      </c>
    </row>
    <row r="35" ht="13.65" customHeight="1">
      <c r="A35" t="s" s="34">
        <v>139</v>
      </c>
      <c r="B35" s="12"/>
      <c r="C35" s="76">
        <f>'Assumptions'!$B$32+'Assumptions'!$B$33</f>
        <v>0.06660000000000001</v>
      </c>
      <c r="D35" s="76">
        <f>'Assumptions'!$B$32+'Assumptions'!$B$33</f>
        <v>0.06660000000000001</v>
      </c>
      <c r="E35" s="76">
        <f>'Assumptions'!$B$32+'Assumptions'!$B$33</f>
        <v>0.06660000000000001</v>
      </c>
      <c r="F35" s="76">
        <f>'Assumptions'!$B$32+'Assumptions'!$B$33</f>
        <v>0.06660000000000001</v>
      </c>
      <c r="G35" s="77">
        <f>'Assumptions'!$B$32+'Assumptions'!$B$33</f>
        <v>0.06660000000000001</v>
      </c>
    </row>
    <row r="36" ht="13.65" customHeight="1">
      <c r="A36" t="s" s="63">
        <v>140</v>
      </c>
      <c r="B36" s="12"/>
      <c r="C36" s="64">
        <f>AVERAGE(C33,C34)*C35</f>
        <v>24.6753</v>
      </c>
      <c r="D36" s="64">
        <f>AVERAGE(D33,D34)*D35</f>
        <v>23.4099</v>
      </c>
      <c r="E36" s="64">
        <f>AVERAGE(E33,E34)*E35</f>
        <v>22.1445</v>
      </c>
      <c r="F36" s="64">
        <f>AVERAGE(F33,F34)*F35</f>
        <v>20.8791</v>
      </c>
      <c r="G36" s="65">
        <f>AVERAGE(G33,G34)*G35</f>
        <v>19.6137</v>
      </c>
    </row>
    <row r="37" ht="13.65" customHeight="1">
      <c r="A37" t="s" s="66">
        <v>141</v>
      </c>
      <c r="B37" s="12"/>
      <c r="C37" s="67">
        <f>C30-C36</f>
        <v>49.022150128535</v>
      </c>
      <c r="D37" s="67">
        <f>D30-D36</f>
        <v>72.23675458931901</v>
      </c>
      <c r="E37" s="67">
        <f>E30-E36</f>
        <v>94.51911650525901</v>
      </c>
      <c r="F37" s="67">
        <f>F30-F36</f>
        <v>118.266972547203</v>
      </c>
      <c r="G37" s="68">
        <f>G30-G36</f>
        <v>144.089976982029</v>
      </c>
    </row>
    <row r="38" ht="13.65" customHeight="1">
      <c r="A38" t="s" s="63">
        <v>142</v>
      </c>
      <c r="B38" s="12"/>
      <c r="C38" s="64">
        <f>MAX(C37,0)*'Assumptions'!$B$27</f>
        <v>10.2946515269924</v>
      </c>
      <c r="D38" s="64">
        <f>MAX(D37,0)*'Assumptions'!$B$27</f>
        <v>15.169718463757</v>
      </c>
      <c r="E38" s="64">
        <f>MAX(E37,0)*'Assumptions'!$B$27</f>
        <v>19.8490144661044</v>
      </c>
      <c r="F38" s="64">
        <f>MAX(F37,0)*'Assumptions'!$B$27</f>
        <v>24.8360642349126</v>
      </c>
      <c r="G38" s="65">
        <f>MAX(G37,0)*'Assumptions'!$B$27</f>
        <v>30.2588951662261</v>
      </c>
    </row>
    <row r="39" ht="13.65" customHeight="1">
      <c r="A39" t="s" s="78">
        <v>143</v>
      </c>
      <c r="B39" s="25"/>
      <c r="C39" s="79">
        <f>C37-C38</f>
        <v>38.7274986015426</v>
      </c>
      <c r="D39" s="79">
        <f>D37-D38</f>
        <v>57.067036125562</v>
      </c>
      <c r="E39" s="79">
        <f>E37-E38</f>
        <v>74.6701020391546</v>
      </c>
      <c r="F39" s="79">
        <f>F37-F38</f>
        <v>93.4309083122904</v>
      </c>
      <c r="G39" s="80">
        <f>G37-G38</f>
        <v>113.831081815803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43"/>
  <sheetViews>
    <sheetView workbookViewId="0" showGridLines="0" defaultGridColor="1"/>
  </sheetViews>
  <sheetFormatPr defaultColWidth="8.83333" defaultRowHeight="15" customHeight="1" outlineLevelRow="0" outlineLevelCol="0"/>
  <cols>
    <col min="1" max="1" width="46" style="81" customWidth="1"/>
    <col min="2" max="7" width="12" style="81" customWidth="1"/>
    <col min="8" max="8" width="62" style="81" customWidth="1"/>
    <col min="9" max="16384" width="8.85156" style="81" customWidth="1"/>
  </cols>
  <sheetData>
    <row r="1" ht="18.5" customHeight="1">
      <c r="A1" t="s" s="28">
        <v>144</v>
      </c>
      <c r="B1" s="8"/>
      <c r="C1" s="8"/>
      <c r="D1" s="8"/>
      <c r="E1" s="8"/>
      <c r="F1" s="8"/>
      <c r="G1" s="8"/>
      <c r="H1" s="9"/>
    </row>
    <row r="2" ht="13.65" customHeight="1">
      <c r="A2" t="s" s="29">
        <v>145</v>
      </c>
      <c r="B2" s="12"/>
      <c r="C2" s="12"/>
      <c r="D2" s="12"/>
      <c r="E2" s="12"/>
      <c r="F2" s="12"/>
      <c r="G2" s="12"/>
      <c r="H2" s="13"/>
    </row>
    <row r="3" ht="13.55" customHeight="1">
      <c r="A3" s="10"/>
      <c r="B3" s="12"/>
      <c r="C3" s="12"/>
      <c r="D3" s="12"/>
      <c r="E3" s="12"/>
      <c r="F3" s="12"/>
      <c r="G3" s="12"/>
      <c r="H3" s="13"/>
    </row>
    <row r="4" ht="13.65" customHeight="1">
      <c r="A4" t="s" s="30">
        <v>146</v>
      </c>
      <c r="B4" s="32"/>
      <c r="C4" s="32"/>
      <c r="D4" s="32"/>
      <c r="E4" s="32"/>
      <c r="F4" s="32"/>
      <c r="G4" s="32"/>
      <c r="H4" t="s" s="33">
        <v>39</v>
      </c>
    </row>
    <row r="5" ht="13.65" customHeight="1">
      <c r="A5" t="s" s="34">
        <v>147</v>
      </c>
      <c r="B5" s="82">
        <f>DATE(2026,5,1)</f>
        <v>46143</v>
      </c>
      <c r="C5" s="12"/>
      <c r="D5" s="12"/>
      <c r="E5" s="12"/>
      <c r="F5" s="12"/>
      <c r="G5" s="12"/>
      <c r="H5" t="s" s="36">
        <v>8</v>
      </c>
    </row>
    <row r="6" ht="13.65" customHeight="1">
      <c r="A6" t="s" s="34">
        <v>148</v>
      </c>
      <c r="B6" s="43">
        <v>0.044</v>
      </c>
      <c r="C6" s="12"/>
      <c r="D6" s="12"/>
      <c r="E6" s="12"/>
      <c r="F6" s="12"/>
      <c r="G6" s="12"/>
      <c r="H6" t="s" s="36">
        <v>149</v>
      </c>
    </row>
    <row r="7" ht="13.65" customHeight="1">
      <c r="A7" t="s" s="34">
        <v>150</v>
      </c>
      <c r="B7" s="43">
        <v>0.05</v>
      </c>
      <c r="C7" s="12"/>
      <c r="D7" s="12"/>
      <c r="E7" s="12"/>
      <c r="F7" s="12"/>
      <c r="G7" s="12"/>
      <c r="H7" t="s" s="36">
        <v>151</v>
      </c>
    </row>
    <row r="8" ht="13.65" customHeight="1">
      <c r="A8" t="s" s="34">
        <v>152</v>
      </c>
      <c r="B8" s="83">
        <v>0.95</v>
      </c>
      <c r="C8" s="12"/>
      <c r="D8" s="12"/>
      <c r="E8" s="12"/>
      <c r="F8" s="12"/>
      <c r="G8" s="12"/>
      <c r="H8" t="s" s="36">
        <v>153</v>
      </c>
    </row>
    <row r="9" ht="13.65" customHeight="1">
      <c r="A9" t="s" s="34">
        <v>154</v>
      </c>
      <c r="B9" s="43">
        <v>0.015</v>
      </c>
      <c r="C9" s="12"/>
      <c r="D9" s="12"/>
      <c r="E9" s="12"/>
      <c r="F9" s="12"/>
      <c r="G9" s="12"/>
      <c r="H9" t="s" s="36">
        <v>151</v>
      </c>
    </row>
    <row r="10" ht="13.65" customHeight="1">
      <c r="A10" t="s" s="34">
        <v>155</v>
      </c>
      <c r="B10" s="76">
        <f>B6+B8*B7+B9</f>
        <v>0.1065</v>
      </c>
      <c r="C10" s="12"/>
      <c r="D10" s="12"/>
      <c r="E10" s="12"/>
      <c r="F10" s="12"/>
      <c r="G10" s="12"/>
      <c r="H10" t="s" s="36">
        <v>156</v>
      </c>
    </row>
    <row r="11" ht="13.65" customHeight="1">
      <c r="A11" t="s" s="34">
        <v>157</v>
      </c>
      <c r="B11" s="84">
        <f>'P&amp;L'!C35</f>
        <v>0.06660000000000001</v>
      </c>
      <c r="C11" s="12"/>
      <c r="D11" s="12"/>
      <c r="E11" s="12"/>
      <c r="F11" s="12"/>
      <c r="G11" s="12"/>
      <c r="H11" t="s" s="36">
        <v>158</v>
      </c>
    </row>
    <row r="12" ht="13.65" customHeight="1">
      <c r="A12" t="s" s="34">
        <v>159</v>
      </c>
      <c r="B12" s="51">
        <f>'Assumptions'!B27</f>
        <v>0.21</v>
      </c>
      <c r="C12" s="12"/>
      <c r="D12" s="12"/>
      <c r="E12" s="12"/>
      <c r="F12" s="12"/>
      <c r="G12" s="12"/>
      <c r="H12" s="85"/>
    </row>
    <row r="13" ht="13.65" customHeight="1">
      <c r="A13" t="s" s="34">
        <v>160</v>
      </c>
      <c r="B13" s="76">
        <f>B11*(1-B12)</f>
        <v>0.052614</v>
      </c>
      <c r="C13" s="12"/>
      <c r="D13" s="12"/>
      <c r="E13" s="12"/>
      <c r="F13" s="12"/>
      <c r="G13" s="12"/>
      <c r="H13" s="85"/>
    </row>
    <row r="14" ht="13.65" customHeight="1">
      <c r="A14" t="s" s="34">
        <v>161</v>
      </c>
      <c r="B14" s="37">
        <v>0.3</v>
      </c>
      <c r="C14" s="12"/>
      <c r="D14" s="12"/>
      <c r="E14" s="12"/>
      <c r="F14" s="12"/>
      <c r="G14" s="12"/>
      <c r="H14" t="s" s="36">
        <v>162</v>
      </c>
    </row>
    <row r="15" ht="13.65" customHeight="1">
      <c r="A15" t="s" s="57">
        <v>163</v>
      </c>
      <c r="B15" s="86">
        <f>B10*(1-B14)+B13*B14</f>
        <v>0.0903342</v>
      </c>
      <c r="C15" s="12"/>
      <c r="D15" s="12"/>
      <c r="E15" s="12"/>
      <c r="F15" s="12"/>
      <c r="G15" s="12"/>
      <c r="H15" s="85"/>
    </row>
    <row r="16" ht="13.65" customHeight="1">
      <c r="A16" t="s" s="34">
        <v>164</v>
      </c>
      <c r="B16" s="37">
        <v>0.025</v>
      </c>
      <c r="C16" s="12"/>
      <c r="D16" s="12"/>
      <c r="E16" s="12"/>
      <c r="F16" s="12"/>
      <c r="G16" s="12"/>
      <c r="H16" t="s" s="36">
        <v>165</v>
      </c>
    </row>
    <row r="17" ht="13.55" customHeight="1">
      <c r="A17" s="10"/>
      <c r="B17" s="12"/>
      <c r="C17" s="12"/>
      <c r="D17" s="12"/>
      <c r="E17" s="12"/>
      <c r="F17" s="12"/>
      <c r="G17" s="12"/>
      <c r="H17" s="13"/>
    </row>
    <row r="18" ht="13.65" customHeight="1">
      <c r="A18" t="s" s="30">
        <v>166</v>
      </c>
      <c r="B18" s="32"/>
      <c r="C18" t="s" s="44">
        <v>101</v>
      </c>
      <c r="D18" t="s" s="44">
        <v>102</v>
      </c>
      <c r="E18" t="s" s="44">
        <v>103</v>
      </c>
      <c r="F18" t="s" s="44">
        <v>104</v>
      </c>
      <c r="G18" t="s" s="44">
        <v>105</v>
      </c>
      <c r="H18" s="40"/>
    </row>
    <row r="19" ht="13.65" customHeight="1">
      <c r="A19" t="s" s="34">
        <v>167</v>
      </c>
      <c r="B19" s="12"/>
      <c r="C19" s="82">
        <f>DATE(2026,12,31)</f>
        <v>46387</v>
      </c>
      <c r="D19" s="82">
        <f>DATE(YEAR(C19)+1,12,31)</f>
        <v>46752</v>
      </c>
      <c r="E19" s="82">
        <f>DATE(YEAR(D19)+1,12,31)</f>
        <v>47118</v>
      </c>
      <c r="F19" s="82">
        <f>DATE(YEAR(E19)+1,12,31)</f>
        <v>47483</v>
      </c>
      <c r="G19" s="82">
        <f>DATE(YEAR(F19)+1,12,31)</f>
        <v>47848</v>
      </c>
      <c r="H19" s="13"/>
    </row>
    <row r="20" ht="13.65" customHeight="1">
      <c r="A20" t="s" s="34">
        <v>133</v>
      </c>
      <c r="B20" s="12"/>
      <c r="C20" s="87">
        <f>'P&amp;L'!C27</f>
        <v>97.85795012853499</v>
      </c>
      <c r="D20" s="87">
        <f>'P&amp;L'!D27</f>
        <v>121.651808764319</v>
      </c>
      <c r="E20" s="87">
        <f>'P&amp;L'!E27</f>
        <v>144.518387270956</v>
      </c>
      <c r="F20" s="87">
        <f>'P&amp;L'!F27</f>
        <v>168.839258183436</v>
      </c>
      <c r="G20" s="87">
        <f>'P&amp;L'!G27</f>
        <v>195.356612870253</v>
      </c>
      <c r="H20" s="13"/>
    </row>
    <row r="21" ht="13.65" customHeight="1">
      <c r="A21" t="s" s="63">
        <v>168</v>
      </c>
      <c r="B21" s="12"/>
      <c r="C21" s="88">
        <f>-'P&amp;L'!C29</f>
        <v>-24.1605</v>
      </c>
      <c r="D21" s="88">
        <f>-'P&amp;L'!D29</f>
        <v>-26.005154175</v>
      </c>
      <c r="E21" s="88">
        <f>-'P&amp;L'!E29</f>
        <v>-27.854770765697</v>
      </c>
      <c r="F21" s="88">
        <f>-'P&amp;L'!F29</f>
        <v>-29.6931856362328</v>
      </c>
      <c r="G21" s="88">
        <f>-'P&amp;L'!G29</f>
        <v>-31.6529358882243</v>
      </c>
      <c r="H21" s="13"/>
    </row>
    <row r="22" ht="13.65" customHeight="1">
      <c r="A22" t="s" s="66">
        <v>136</v>
      </c>
      <c r="B22" s="12"/>
      <c r="C22" s="67">
        <f>C20+C21</f>
        <v>73.697450128535</v>
      </c>
      <c r="D22" s="67">
        <f>D20+D21</f>
        <v>95.646654589319</v>
      </c>
      <c r="E22" s="67">
        <f>E20+E21</f>
        <v>116.663616505259</v>
      </c>
      <c r="F22" s="67">
        <f>F20+F21</f>
        <v>139.146072547203</v>
      </c>
      <c r="G22" s="67">
        <f>G20+G21</f>
        <v>163.703676982029</v>
      </c>
      <c r="H22" s="13"/>
    </row>
    <row r="23" ht="13.65" customHeight="1">
      <c r="A23" t="s" s="34">
        <v>169</v>
      </c>
      <c r="B23" s="12"/>
      <c r="C23" s="53">
        <f>-MAX(C22,0)*$B$12</f>
        <v>-15.4764645269924</v>
      </c>
      <c r="D23" s="53">
        <f>-MAX(D22,0)*$B$12</f>
        <v>-20.085797463757</v>
      </c>
      <c r="E23" s="53">
        <f>-MAX(E22,0)*$B$12</f>
        <v>-24.4993594661044</v>
      </c>
      <c r="F23" s="53">
        <f>-MAX(F22,0)*$B$12</f>
        <v>-29.2206752349126</v>
      </c>
      <c r="G23" s="53">
        <f>-MAX(G22,0)*$B$12</f>
        <v>-34.3777721662261</v>
      </c>
      <c r="H23" s="13"/>
    </row>
    <row r="24" ht="13.65" customHeight="1">
      <c r="A24" t="s" s="34">
        <v>170</v>
      </c>
      <c r="B24" s="12"/>
      <c r="C24" s="53">
        <f>-C21</f>
        <v>24.1605</v>
      </c>
      <c r="D24" s="53">
        <f>-D21</f>
        <v>26.005154175</v>
      </c>
      <c r="E24" s="53">
        <f>-E21</f>
        <v>27.854770765697</v>
      </c>
      <c r="F24" s="53">
        <f>-F21</f>
        <v>29.6931856362328</v>
      </c>
      <c r="G24" s="53">
        <f>-G21</f>
        <v>31.6529358882243</v>
      </c>
      <c r="H24" s="13"/>
    </row>
    <row r="25" ht="13.65" customHeight="1">
      <c r="A25" t="s" s="34">
        <v>171</v>
      </c>
      <c r="B25" s="12"/>
      <c r="C25" s="53">
        <f>-'P&amp;L'!C10*'Assumptions'!$B$19</f>
        <v>-28.9926</v>
      </c>
      <c r="D25" s="53">
        <f>-'P&amp;L'!D10*'Assumptions'!$B$19</f>
        <v>-31.20618501</v>
      </c>
      <c r="E25" s="53">
        <f>-'P&amp;L'!E10*'Assumptions'!$B$19</f>
        <v>-33.4257249188364</v>
      </c>
      <c r="F25" s="53">
        <f>-'P&amp;L'!F10*'Assumptions'!$B$19</f>
        <v>-35.6318227634793</v>
      </c>
      <c r="G25" s="53">
        <f>-'P&amp;L'!G10*'Assumptions'!$B$19</f>
        <v>-37.9835230658691</v>
      </c>
      <c r="H25" s="13"/>
    </row>
    <row r="26" ht="13.65" customHeight="1">
      <c r="A26" t="s" s="63">
        <v>172</v>
      </c>
      <c r="B26" s="12"/>
      <c r="C26" s="64">
        <f>-('P&amp;L'!C10-'P&amp;L'!B10)*'Assumptions'!$B$20</f>
        <v>-7.4272</v>
      </c>
      <c r="D26" s="64">
        <f>-('P&amp;L'!D10-'P&amp;L'!C10)*'Assumptions'!$B$20</f>
        <v>-11.80578672</v>
      </c>
      <c r="E26" s="64">
        <f>-('P&amp;L'!E10-'P&amp;L'!D10)*'Assumptions'!$B$20</f>
        <v>-11.8375461804608</v>
      </c>
      <c r="F26" s="64">
        <f>-('P&amp;L'!F10-'P&amp;L'!E10)*'Assumptions'!$B$20</f>
        <v>-11.7658551714288</v>
      </c>
      <c r="G26" s="64">
        <f>-('P&amp;L'!G10-'P&amp;L'!F10)*'Assumptions'!$B$20</f>
        <v>-12.5424016127456</v>
      </c>
      <c r="H26" s="13"/>
    </row>
    <row r="27" ht="13.65" customHeight="1">
      <c r="A27" t="s" s="71">
        <v>166</v>
      </c>
      <c r="B27" s="12"/>
      <c r="C27" s="74">
        <f>SUM(C22:C26)</f>
        <v>45.9616856015426</v>
      </c>
      <c r="D27" s="74">
        <f>SUM(D22:D26)</f>
        <v>58.554039570562</v>
      </c>
      <c r="E27" s="74">
        <f>SUM(E22:E26)</f>
        <v>74.7557567055544</v>
      </c>
      <c r="F27" s="74">
        <f>SUM(F22:F26)</f>
        <v>92.22090501361509</v>
      </c>
      <c r="G27" s="74">
        <f>SUM(G22:G26)</f>
        <v>110.452916025413</v>
      </c>
      <c r="H27" s="13"/>
    </row>
    <row r="28" ht="13.65" customHeight="1">
      <c r="A28" t="s" s="34">
        <v>173</v>
      </c>
      <c r="B28" s="12"/>
      <c r="C28" s="69">
        <f>MIN(1,(C19-$B$5)/365)</f>
        <v>0.668493150684932</v>
      </c>
      <c r="D28" s="69">
        <f>MIN(1,(D19-$B$5)/365)</f>
        <v>1</v>
      </c>
      <c r="E28" s="69">
        <f>MIN(1,(E19-$B$5)/365)</f>
        <v>1</v>
      </c>
      <c r="F28" s="69">
        <f>MIN(1,(F19-$B$5)/365)</f>
        <v>1</v>
      </c>
      <c r="G28" s="69">
        <f>MIN(1,(G19-$B$5)/365)</f>
        <v>1</v>
      </c>
      <c r="H28" s="13"/>
    </row>
    <row r="29" ht="13.65" customHeight="1">
      <c r="A29" t="s" s="34">
        <v>174</v>
      </c>
      <c r="B29" s="12"/>
      <c r="C29" s="53">
        <f>C27*C28</f>
        <v>30.7250720185655</v>
      </c>
      <c r="D29" s="53">
        <f>D27*D28</f>
        <v>58.554039570562</v>
      </c>
      <c r="E29" s="53">
        <f>E27*E28</f>
        <v>74.7557567055544</v>
      </c>
      <c r="F29" s="53">
        <f>F27*F28</f>
        <v>92.22090501361509</v>
      </c>
      <c r="G29" s="53">
        <f>G27*G28</f>
        <v>110.452916025413</v>
      </c>
      <c r="H29" s="13"/>
    </row>
    <row r="30" ht="13.65" customHeight="1">
      <c r="A30" t="s" s="34">
        <v>175</v>
      </c>
      <c r="B30" s="12"/>
      <c r="C30" s="89">
        <f>(C19-$B$5)/365</f>
        <v>0.668493150684932</v>
      </c>
      <c r="D30" s="89">
        <f>(D19-$B$5)/365</f>
        <v>1.66849315068493</v>
      </c>
      <c r="E30" s="89">
        <f>(E19-$B$5)/365</f>
        <v>2.67123287671233</v>
      </c>
      <c r="F30" s="89">
        <f>(F19-$B$5)/365</f>
        <v>3.67123287671233</v>
      </c>
      <c r="G30" s="89">
        <f>(G19-$B$5)/365</f>
        <v>4.67123287671233</v>
      </c>
      <c r="H30" s="13"/>
    </row>
    <row r="31" ht="13.65" customHeight="1">
      <c r="A31" t="s" s="34">
        <v>176</v>
      </c>
      <c r="B31" s="12"/>
      <c r="C31" s="90">
        <f>1/(1+$B$15)^C30</f>
        <v>0.943825358119516</v>
      </c>
      <c r="D31" s="90">
        <f>1/(1+$B$15)^D30</f>
        <v>0.865629417218607</v>
      </c>
      <c r="E31" s="90">
        <f>1/(1+$B$15)^E30</f>
        <v>0.793723921108856</v>
      </c>
      <c r="F31" s="90">
        <f>1/(1+$B$15)^F30</f>
        <v>0.727963885851564</v>
      </c>
      <c r="G31" s="90">
        <f>1/(1+$B$15)^G30</f>
        <v>0.667652070210733</v>
      </c>
      <c r="H31" s="13"/>
    </row>
    <row r="32" ht="13.65" customHeight="1">
      <c r="A32" t="s" s="57">
        <v>177</v>
      </c>
      <c r="B32" s="12"/>
      <c r="C32" s="59">
        <f>C29*C31</f>
        <v>28.9991021011705</v>
      </c>
      <c r="D32" s="59">
        <f>D29*D31</f>
        <v>50.6860991492608</v>
      </c>
      <c r="E32" s="59">
        <f>E29*E31</f>
        <v>59.3354323377923</v>
      </c>
      <c r="F32" s="59">
        <f>F29*F31</f>
        <v>67.1334883704592</v>
      </c>
      <c r="G32" s="59">
        <f>G29*G31</f>
        <v>73.74411804517921</v>
      </c>
      <c r="H32" s="13"/>
    </row>
    <row r="33" ht="13.55" customHeight="1">
      <c r="A33" s="10"/>
      <c r="B33" s="12"/>
      <c r="C33" s="12"/>
      <c r="D33" s="12"/>
      <c r="E33" s="12"/>
      <c r="F33" s="12"/>
      <c r="G33" s="12"/>
      <c r="H33" s="13"/>
    </row>
    <row r="34" ht="13.65" customHeight="1">
      <c r="A34" t="s" s="30">
        <v>178</v>
      </c>
      <c r="B34" s="32"/>
      <c r="C34" s="32"/>
      <c r="D34" s="32"/>
      <c r="E34" s="32"/>
      <c r="F34" s="32"/>
      <c r="G34" s="32"/>
      <c r="H34" s="40"/>
    </row>
    <row r="35" ht="13.65" customHeight="1">
      <c r="A35" t="s" s="34">
        <v>179</v>
      </c>
      <c r="B35" s="53">
        <f>SUM(C32:G32)</f>
        <v>279.898240003862</v>
      </c>
      <c r="C35" s="12"/>
      <c r="D35" s="12"/>
      <c r="E35" s="12"/>
      <c r="F35" s="12"/>
      <c r="G35" s="12"/>
      <c r="H35" s="13"/>
    </row>
    <row r="36" ht="13.65" customHeight="1">
      <c r="A36" t="s" s="34">
        <v>180</v>
      </c>
      <c r="B36" s="53">
        <f>G27*(1+B16)/(B15-B16)</f>
        <v>1732.848017210720</v>
      </c>
      <c r="C36" s="12"/>
      <c r="D36" s="12"/>
      <c r="E36" s="12"/>
      <c r="F36" s="12"/>
      <c r="G36" s="12"/>
      <c r="H36" s="13"/>
    </row>
    <row r="37" ht="13.65" customHeight="1">
      <c r="A37" t="s" s="34">
        <v>181</v>
      </c>
      <c r="B37" s="53">
        <f>B36*G31</f>
        <v>1156.9395660513</v>
      </c>
      <c r="C37" s="12"/>
      <c r="D37" s="12"/>
      <c r="E37" s="12"/>
      <c r="F37" s="12"/>
      <c r="G37" s="12"/>
      <c r="H37" s="13"/>
    </row>
    <row r="38" ht="13.65" customHeight="1">
      <c r="A38" t="s" s="57">
        <v>182</v>
      </c>
      <c r="B38" s="91">
        <f>B35+B37</f>
        <v>1436.837806055160</v>
      </c>
      <c r="C38" s="12"/>
      <c r="D38" s="12"/>
      <c r="E38" s="12"/>
      <c r="F38" s="12"/>
      <c r="G38" s="12"/>
      <c r="H38" s="13"/>
    </row>
    <row r="39" ht="13.65" customHeight="1">
      <c r="A39" t="s" s="34">
        <v>183</v>
      </c>
      <c r="B39" s="87">
        <f>-'Assumptions'!B30</f>
        <v>-380</v>
      </c>
      <c r="C39" s="12"/>
      <c r="D39" s="12"/>
      <c r="E39" s="12"/>
      <c r="F39" s="12"/>
      <c r="G39" s="12"/>
      <c r="H39" t="s" s="36">
        <v>184</v>
      </c>
    </row>
    <row r="40" ht="13.65" customHeight="1">
      <c r="A40" t="s" s="34">
        <v>185</v>
      </c>
      <c r="B40" s="87">
        <f>'Assumptions'!B34</f>
        <v>58</v>
      </c>
      <c r="C40" s="12"/>
      <c r="D40" s="12"/>
      <c r="E40" s="12"/>
      <c r="F40" s="12"/>
      <c r="G40" s="12"/>
      <c r="H40" s="13"/>
    </row>
    <row r="41" ht="13.65" customHeight="1">
      <c r="A41" t="s" s="57">
        <v>186</v>
      </c>
      <c r="B41" s="91">
        <f>SUM(B38:B40)</f>
        <v>1114.837806055160</v>
      </c>
      <c r="C41" s="12"/>
      <c r="D41" s="12"/>
      <c r="E41" s="12"/>
      <c r="F41" s="12"/>
      <c r="G41" s="12"/>
      <c r="H41" s="13"/>
    </row>
    <row r="42" ht="13.65" customHeight="1">
      <c r="A42" t="s" s="34">
        <v>187</v>
      </c>
      <c r="B42" s="92">
        <f>B38/'P&amp;L'!C27</f>
        <v>14.6828929501169</v>
      </c>
      <c r="C42" s="12"/>
      <c r="D42" s="12"/>
      <c r="E42" s="12"/>
      <c r="F42" s="12"/>
      <c r="G42" s="12"/>
      <c r="H42" s="13"/>
    </row>
    <row r="43" ht="13.65" customHeight="1">
      <c r="A43" t="s" s="45">
        <v>188</v>
      </c>
      <c r="B43" s="93">
        <f>B37/B38</f>
        <v>0.8051984442333679</v>
      </c>
      <c r="C43" s="25"/>
      <c r="D43" s="25"/>
      <c r="E43" s="25"/>
      <c r="F43" s="25"/>
      <c r="G43" s="25"/>
      <c r="H4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dc:creator>Bluestem Coffee Roasters FP&amp;A</dc:creator>
  <dc:title>Bluestem Coffee Roasters, Inc. - Operating Model &amp; DCF</dc:title>
  <dcterms:created xsi:type="dcterms:W3CDTF">2026-05-01T09:30:00Z</dcterms:created>
  <dcterms:modified xsi:type="dcterms:W3CDTF">2026-10-10T22:51:45Z</dcterms:modified>
</cp:coreProperties>
</file>