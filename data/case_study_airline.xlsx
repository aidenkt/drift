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Cover" sheetId="2" r:id="rId6"/>
    <sheet name="Assumptions" sheetId="3" r:id="rId7"/>
    <sheet name="P&amp;L" sheetId="4" r:id="rId8"/>
    <sheet name="DCF" sheetId="5" r:id="rId9"/>
  </sheets>
</workbook>
</file>

<file path=xl/sharedStrings.xml><?xml version="1.0" encoding="utf-8"?>
<sst xmlns="http://schemas.openxmlformats.org/spreadsheetml/2006/main" uniqueCount="177">
  <si>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</si>
  <si>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</si>
  <si>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</si>
  <si>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</si>
  <si>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Cover</t>
  </si>
  <si>
    <t>Table 1</t>
  </si>
  <si>
    <t>Northstar Airways, Inc.</t>
  </si>
  <si>
    <t>Five-year operating model and DCF valuation</t>
  </si>
  <si>
    <t>Model date</t>
  </si>
  <si>
    <t>Market inputs as of</t>
  </si>
  <si>
    <t>Close of 30-Apr-2025</t>
  </si>
  <si>
    <t>Prepared by</t>
  </si>
  <si>
    <t>FP&amp;A / Corporate Development</t>
  </si>
  <si>
    <t>Version</t>
  </si>
  <si>
    <t>v1 - board pre-read, May 2025</t>
  </si>
  <si>
    <t>Currency / units</t>
  </si>
  <si>
    <t>US$ millions unless noted</t>
  </si>
  <si>
    <t>Fiscal year</t>
  </si>
  <si>
    <t>Calendar year (FY2025 = Jan-Dec 2025)</t>
  </si>
  <si>
    <t>Business</t>
  </si>
  <si>
    <t>US network airline flying a domestic hub network plus transpacific routes to Japan. Japan point-of-sale tickets are sold in JPY; fuel is bought at US Gulf Coast-linked prices and most of it is hedged with swaps.</t>
  </si>
  <si>
    <t>Tabs</t>
  </si>
  <si>
    <t>Assumptions</t>
  </si>
  <si>
    <t>Operating, market, policy and financing inputs</t>
  </si>
  <si>
    <t>P&amp;L</t>
  </si>
  <si>
    <t>Revenue build, operating costs, EBITDA, interest, net income</t>
  </si>
  <si>
    <t>DCF</t>
  </si>
  <si>
    <t>WACC, unlevered free cash flow, NPV / enterprise and equity value</t>
  </si>
  <si>
    <t>Colour legend</t>
  </si>
  <si>
    <t>1,234</t>
  </si>
  <si>
    <t>Hardcoded input</t>
  </si>
  <si>
    <t>Formula</t>
  </si>
  <si>
    <t>Link to another tab</t>
  </si>
  <si>
    <t>Key output</t>
  </si>
  <si>
    <t>Northstar Airways, Inc. - Assumptions</t>
  </si>
  <si>
    <t>Model date 1-May-2025. Market inputs at close of 30-Apr-2025. US$ millions unless noted.</t>
  </si>
  <si>
    <t>Network and revenue</t>
  </si>
  <si>
    <t>Value</t>
  </si>
  <si>
    <t>Unit</t>
  </si>
  <si>
    <t>Source / note</t>
  </si>
  <si>
    <t>FY2024A operating revenue</t>
  </si>
  <si>
    <t>$mm</t>
  </si>
  <si>
    <t>FY2024 audited financial statements</t>
  </si>
  <si>
    <t>Available seat miles (ASMs), FY2025E</t>
  </si>
  <si>
    <t>billions</t>
  </si>
  <si>
    <t>2025 network plan</t>
  </si>
  <si>
    <t>Load factor</t>
  </si>
  <si>
    <t>%</t>
  </si>
  <si>
    <t>FY2024A actual</t>
  </si>
  <si>
    <t>Domestic share of revenue passenger miles</t>
  </si>
  <si>
    <t>Domestic gross fare yield, incl. ticket tax</t>
  </si>
  <si>
    <t>cents/RPM</t>
  </si>
  <si>
    <t>Transpacific revenue sold in JPY, FY2025E</t>
  </si>
  <si>
    <t>¥bn</t>
  </si>
  <si>
    <t>2025 commercial plan, Japan point of sale</t>
  </si>
  <si>
    <t>Cargo and other revenue, % of passenger revenue</t>
  </si>
  <si>
    <t>FY2024A run-rate</t>
  </si>
  <si>
    <t>Market and policy inputs (close of 30-Apr-2025)</t>
  </si>
  <si>
    <t>Jet fuel, US Gulf Coast kerosene-type</t>
  </si>
  <si>
    <t>$/gal</t>
  </si>
  <si>
    <t>EIA spot price, FRED series DJFUELUSGULF, 30-Apr-2025</t>
  </si>
  <si>
    <t>Federal excise tax on domestic passenger tickets</t>
  </si>
  <si>
    <t>26 U.S.C. 4261(a)</t>
  </si>
  <si>
    <t>US federal corporate income tax rate</t>
  </si>
  <si>
    <t>IRC section 11(b)</t>
  </si>
  <si>
    <t>Fuel hedging</t>
  </si>
  <si>
    <t>Share of fuel consumption hedged</t>
  </si>
  <si>
    <t>Swap book at 30-Apr-2025, rolled forward each year</t>
  </si>
  <si>
    <t>Weighted average swap price</t>
  </si>
  <si>
    <t>Swap book; fixed contract price</t>
  </si>
  <si>
    <t>Operating costs</t>
  </si>
  <si>
    <t>ASMs per gallon of fuel</t>
  </si>
  <si>
    <t>ASM/gal</t>
  </si>
  <si>
    <t>FY2024A fleet average</t>
  </si>
  <si>
    <t>Labor cost per ASM</t>
  </si>
  <si>
    <t>cents</t>
  </si>
  <si>
    <t>Labor contracts in force</t>
  </si>
  <si>
    <t>Other cost per ASM, ex fuel and labor</t>
  </si>
  <si>
    <t>D&amp;A, % of revenue</t>
  </si>
  <si>
    <t>Capex, % of revenue</t>
  </si>
  <si>
    <t>2025-2029 fleet plan</t>
  </si>
  <si>
    <t>Net working capital, % of revenue</t>
  </si>
  <si>
    <t>Air traffic liability exceeds receivables</t>
  </si>
  <si>
    <t>Financing</t>
  </si>
  <si>
    <t>Aircraft-secured floating-rate debt, 31-Dec-2024</t>
  </si>
  <si>
    <t>Equipment notes; amortization paid each December</t>
  </si>
  <si>
    <t>Scheduled amortization, % of balance per year</t>
  </si>
  <si>
    <t>Equipment note schedules</t>
  </si>
  <si>
    <t>SOFR</t>
  </si>
  <si>
    <t>NY Fed SOFR, FRED series SOFR, 30-Apr-2025</t>
  </si>
  <si>
    <t>Margin over SOFR</t>
  </si>
  <si>
    <t>Equipment note pricing</t>
  </si>
  <si>
    <t>Cash and short-term investments, 30-Apr-2025</t>
  </si>
  <si>
    <t>Management accounts</t>
  </si>
  <si>
    <t>Capacity growth</t>
  </si>
  <si>
    <t>FY2025E</t>
  </si>
  <si>
    <t>FY2026E</t>
  </si>
  <si>
    <t>FY2027E</t>
  </si>
  <si>
    <t>FY2028E</t>
  </si>
  <si>
    <t>FY2029E</t>
  </si>
  <si>
    <t>ASM growth, year on year</t>
  </si>
  <si>
    <t>Northstar Airways, Inc. - Income Statement</t>
  </si>
  <si>
    <t>FY2024A</t>
  </si>
  <si>
    <t>ASMs (billions)</t>
  </si>
  <si>
    <t>Domestic RPMs (billions)</t>
  </si>
  <si>
    <t>Operating revenue</t>
  </si>
  <si>
    <t>Domestic fares, gross of ticket tax</t>
  </si>
  <si>
    <t>Less: federal ticket tax collected</t>
  </si>
  <si>
    <t>Domestic passenger revenue</t>
  </si>
  <si>
    <t>Transpacific sales in JPY (¥bn)</t>
  </si>
  <si>
    <t>Transpacific revenue, Japan POS</t>
  </si>
  <si>
    <t>Passenger revenue</t>
  </si>
  <si>
    <t>Cargo and other</t>
  </si>
  <si>
    <t>Total operating revenue</t>
  </si>
  <si>
    <t>Operating expenses (ex D&amp;A)</t>
  </si>
  <si>
    <t>Fuel consumed (million gallons)</t>
  </si>
  <si>
    <t>Effective fuel price after hedges ($/gal)</t>
  </si>
  <si>
    <t>Aircraft fuel</t>
  </si>
  <si>
    <t>Salaries, wages and benefits</t>
  </si>
  <si>
    <t>Other operating expenses</t>
  </si>
  <si>
    <t>Total operating expenses (ex D&amp;A)</t>
  </si>
  <si>
    <t>EBITDA</t>
  </si>
  <si>
    <t xml:space="preserve">   EBITDA margin</t>
  </si>
  <si>
    <t>Depreciation and amortization</t>
  </si>
  <si>
    <t>EBIT</t>
  </si>
  <si>
    <t>Debt, opening</t>
  </si>
  <si>
    <t>Debt, closing</t>
  </si>
  <si>
    <t>Interest rate (SOFR + margin)</t>
  </si>
  <si>
    <t>Interest expense</t>
  </si>
  <si>
    <t>Pre-tax income</t>
  </si>
  <si>
    <t>Income tax</t>
  </si>
  <si>
    <t>Net income</t>
  </si>
  <si>
    <t>Northstar Airways, Inc. - DCF Valuation</t>
  </si>
  <si>
    <t>US$ millions unless noted. Unlevered free cash flow, end-of-period discounting.</t>
  </si>
  <si>
    <t>Discount rate (WACC)</t>
  </si>
  <si>
    <t>Valuation date</t>
  </si>
  <si>
    <t>Risk-free rate (10-year US Treasury)</t>
  </si>
  <si>
    <t>FRED series DGS10, 30-Apr-2025</t>
  </si>
  <si>
    <t>Equity risk premium</t>
  </si>
  <si>
    <t>House view</t>
  </si>
  <si>
    <t>Levered beta</t>
  </si>
  <si>
    <t>Median of US network airline peers, 2-year weekly</t>
  </si>
  <si>
    <t>Size premium</t>
  </si>
  <si>
    <t>Cost of equity</t>
  </si>
  <si>
    <t>CAPM + size premium</t>
  </si>
  <si>
    <t>Pre-tax cost of debt</t>
  </si>
  <si>
    <t>Equipment note all-in rate, FY2025E</t>
  </si>
  <si>
    <t>Tax rate</t>
  </si>
  <si>
    <t>After-tax cost of debt</t>
  </si>
  <si>
    <t>Target debt / total capital</t>
  </si>
  <si>
    <t>Board-approved capital structure</t>
  </si>
  <si>
    <t>WACC</t>
  </si>
  <si>
    <t>Terminal growth rate</t>
  </si>
  <si>
    <t>House view, long-run nominal growth</t>
  </si>
  <si>
    <t>Unlevered free cash flow</t>
  </si>
  <si>
    <t>Fiscal year end</t>
  </si>
  <si>
    <t>Less: depreciation and amortization</t>
  </si>
  <si>
    <t>Less: taxes on EBIT</t>
  </si>
  <si>
    <t>Add back: depreciation and amortization</t>
  </si>
  <si>
    <t>Less: capex</t>
  </si>
  <si>
    <t>Less: increase in net working capital</t>
  </si>
  <si>
    <t>Share of year after valuation date</t>
  </si>
  <si>
    <t>Free cash flow to discount</t>
  </si>
  <si>
    <t>Discount period (years)</t>
  </si>
  <si>
    <t>Discount factor</t>
  </si>
  <si>
    <t>Present value of free cash flow</t>
  </si>
  <si>
    <t>Valuation</t>
  </si>
  <si>
    <t>Sum of PV of free cash flow, FY2025E-FY2029E</t>
  </si>
  <si>
    <t>Terminal value at end of FY2029E (Gordon growth)</t>
  </si>
  <si>
    <t>PV of terminal value</t>
  </si>
  <si>
    <t>Enterprise value (NPV)</t>
  </si>
  <si>
    <t>Less: debt outstanding</t>
  </si>
  <si>
    <t>Amortization is paid in December, so the 31-Dec-2024 balance is still outstanding</t>
  </si>
  <si>
    <t>Add: cash</t>
  </si>
  <si>
    <t>Equity value</t>
  </si>
  <si>
    <t>Implied EV / FY2025E EBITDA</t>
  </si>
  <si>
    <t>Terminal value share of enterprise value</t>
  </si>
</sst>
</file>

<file path=xl/styles.xml><?xml version="1.0" encoding="utf-8"?>
<styleSheet xmlns="http://schemas.openxmlformats.org/spreadsheetml/2006/main">
  <numFmts count="10">
    <numFmt numFmtId="0" formatCode="General"/>
    <numFmt numFmtId="59" formatCode="d-mmm-yyyy"/>
    <numFmt numFmtId="60" formatCode="#,##0.0;(#,##0.0);&quot;–&quot;"/>
    <numFmt numFmtId="61" formatCode="0.0%;(0.0%);&quot;–&quot;"/>
    <numFmt numFmtId="62" formatCode="#,##0.00;(#,##0.00);&quot;–&quot;"/>
    <numFmt numFmtId="63" formatCode="&quot;$&quot;#,##0.000"/>
    <numFmt numFmtId="64" formatCode="0.00%;(0.00%);&quot;–&quot;"/>
    <numFmt numFmtId="65" formatCode="#,##0;(#,##0);&quot;–&quot;"/>
    <numFmt numFmtId="66" formatCode="0.0000"/>
    <numFmt numFmtId="67" formatCode="0.0&quot;x&quot;"/>
  </numFmts>
  <fonts count="15">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4"/>
      <color indexed="8"/>
      <name val="Arial"/>
    </font>
    <font>
      <i val="1"/>
      <sz val="10"/>
      <color indexed="13"/>
      <name val="Arial"/>
    </font>
    <font>
      <b val="1"/>
      <sz val="10"/>
      <color indexed="8"/>
      <name val="Arial"/>
    </font>
    <font>
      <sz val="10"/>
      <color indexed="8"/>
      <name val="Arial"/>
    </font>
    <font>
      <sz val="10"/>
      <color indexed="11"/>
      <name val="Arial"/>
    </font>
    <font>
      <sz val="10"/>
      <color indexed="15"/>
      <name val="Arial"/>
    </font>
    <font>
      <b val="1"/>
      <sz val="10"/>
      <color indexed="14"/>
      <name val="Arial"/>
    </font>
    <font>
      <i val="1"/>
      <sz val="9"/>
      <color indexed="13"/>
      <name val="Arial"/>
    </font>
    <font>
      <b val="1"/>
      <sz val="10"/>
      <color indexed="15"/>
      <name val="Arial"/>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s>
  <borders count="22">
    <border>
      <left/>
      <right/>
      <top/>
      <bottom/>
      <diagonal/>
    </border>
    <border>
      <left style="thin">
        <color indexed="12"/>
      </left>
      <right/>
      <top style="thin">
        <color indexed="12"/>
      </top>
      <bottom/>
      <diagonal/>
    </border>
    <border>
      <left/>
      <right/>
      <top style="thin">
        <color indexed="12"/>
      </top>
      <bottom/>
      <diagonal/>
    </border>
    <border>
      <left/>
      <right style="thin">
        <color indexed="12"/>
      </right>
      <top style="thin">
        <color indexed="12"/>
      </top>
      <bottom/>
      <diagonal/>
    </border>
    <border>
      <left style="thin">
        <color indexed="12"/>
      </left>
      <right/>
      <top/>
      <bottom/>
      <diagonal/>
    </border>
    <border>
      <left/>
      <right/>
      <top/>
      <bottom/>
      <diagonal/>
    </border>
    <border>
      <left/>
      <right style="thin">
        <color indexed="12"/>
      </right>
      <top/>
      <bottom/>
      <diagonal/>
    </border>
    <border>
      <left style="thin">
        <color indexed="12"/>
      </left>
      <right/>
      <top/>
      <bottom style="thin">
        <color indexed="12"/>
      </bottom>
      <diagonal/>
    </border>
    <border>
      <left/>
      <right/>
      <top/>
      <bottom style="thin">
        <color indexed="12"/>
      </bottom>
      <diagonal/>
    </border>
    <border>
      <left/>
      <right style="thin">
        <color indexed="12"/>
      </right>
      <top/>
      <bottom style="thin">
        <color indexed="12"/>
      </bottom>
      <diagonal/>
    </border>
    <border>
      <left style="thin">
        <color indexed="12"/>
      </left>
      <right/>
      <top/>
      <bottom style="thin">
        <color indexed="8"/>
      </bottom>
      <diagonal/>
    </border>
    <border>
      <left/>
      <right/>
      <top/>
      <bottom style="thin">
        <color indexed="8"/>
      </bottom>
      <diagonal/>
    </border>
    <border>
      <left/>
      <right style="thin">
        <color indexed="12"/>
      </right>
      <top/>
      <bottom style="thin">
        <color indexed="8"/>
      </bottom>
      <diagonal/>
    </border>
    <border>
      <left style="thin">
        <color indexed="12"/>
      </left>
      <right/>
      <top style="thin">
        <color indexed="8"/>
      </top>
      <bottom/>
      <diagonal/>
    </border>
    <border>
      <left/>
      <right/>
      <top style="thin">
        <color indexed="8"/>
      </top>
      <bottom/>
      <diagonal/>
    </border>
    <border>
      <left/>
      <right style="thin">
        <color indexed="12"/>
      </right>
      <top style="thin">
        <color indexed="8"/>
      </top>
      <bottom/>
      <diagonal/>
    </border>
    <border>
      <left style="thin">
        <color indexed="12"/>
      </left>
      <right/>
      <top style="thin">
        <color indexed="8"/>
      </top>
      <bottom style="thin">
        <color indexed="8"/>
      </bottom>
      <diagonal/>
    </border>
    <border>
      <left/>
      <right/>
      <top style="thin">
        <color indexed="8"/>
      </top>
      <bottom style="thin">
        <color indexed="8"/>
      </bottom>
      <diagonal/>
    </border>
    <border>
      <left/>
      <right style="thin">
        <color indexed="12"/>
      </right>
      <top style="thin">
        <color indexed="8"/>
      </top>
      <bottom style="thin">
        <color indexed="8"/>
      </bottom>
      <diagonal/>
    </border>
    <border>
      <left style="thin">
        <color indexed="12"/>
      </left>
      <right/>
      <top style="thin">
        <color indexed="8"/>
      </top>
      <bottom style="thin">
        <color indexed="12"/>
      </bottom>
      <diagonal/>
    </border>
    <border>
      <left/>
      <right/>
      <top style="thin">
        <color indexed="8"/>
      </top>
      <bottom style="thin">
        <color indexed="12"/>
      </bottom>
      <diagonal/>
    </border>
    <border>
      <left/>
      <right style="thin">
        <color indexed="12"/>
      </right>
      <top style="thin">
        <color indexed="8"/>
      </top>
      <bottom style="thin">
        <color indexed="12"/>
      </bottom>
      <diagonal/>
    </border>
  </borders>
  <cellStyleXfs count="1">
    <xf numFmtId="0" fontId="0" applyNumberFormat="0" applyFont="1" applyFill="0" applyBorder="0" applyAlignment="1" applyProtection="0">
      <alignment vertical="bottom"/>
    </xf>
  </cellStyleXfs>
  <cellXfs count="94">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6" borderId="5" applyNumberFormat="1" applyFont="1" applyFill="0" applyBorder="1" applyAlignment="1" applyProtection="0">
      <alignment vertical="bottom"/>
    </xf>
    <xf numFmtId="0" fontId="0"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49" fontId="7" borderId="5" applyNumberFormat="1" applyFont="1" applyFill="0" applyBorder="1" applyAlignment="1" applyProtection="0">
      <alignment vertical="bottom"/>
    </xf>
    <xf numFmtId="49" fontId="8" borderId="5" applyNumberFormat="1" applyFont="1" applyFill="0" applyBorder="1" applyAlignment="1" applyProtection="0">
      <alignment vertical="bottom"/>
    </xf>
    <xf numFmtId="59" fontId="9" borderId="5" applyNumberFormat="1" applyFont="1" applyFill="0" applyBorder="1" applyAlignment="1" applyProtection="0">
      <alignment horizontal="left" vertical="bottom"/>
    </xf>
    <xf numFmtId="49" fontId="9" borderId="5" applyNumberFormat="1" applyFont="1" applyFill="0" applyBorder="1" applyAlignment="1" applyProtection="0">
      <alignment horizontal="left" vertical="bottom"/>
    </xf>
    <xf numFmtId="49" fontId="9" fillId="4" borderId="5" applyNumberFormat="1" applyFont="1" applyFill="1" applyBorder="1" applyAlignment="1" applyProtection="0">
      <alignment vertical="top" wrapText="1"/>
    </xf>
    <xf numFmtId="49" fontId="9" borderId="5" applyNumberFormat="1" applyFont="1" applyFill="0" applyBorder="1" applyAlignment="1" applyProtection="0">
      <alignment vertical="bottom"/>
    </xf>
    <xf numFmtId="49" fontId="10" borderId="5" applyNumberFormat="1" applyFont="1" applyFill="0" applyBorder="1" applyAlignment="1" applyProtection="0">
      <alignment vertical="bottom"/>
    </xf>
    <xf numFmtId="49" fontId="11" borderId="5" applyNumberFormat="1" applyFont="1" applyFill="0" applyBorder="1" applyAlignment="1" applyProtection="0">
      <alignment vertical="bottom"/>
    </xf>
    <xf numFmtId="0" fontId="0" borderId="7" applyNumberFormat="0" applyFont="1" applyFill="0" applyBorder="1" applyAlignment="1" applyProtection="0">
      <alignment vertical="bottom"/>
    </xf>
    <xf numFmtId="0" fontId="9" fillId="5" borderId="8" applyNumberFormat="0" applyFont="1" applyFill="1" applyBorder="1" applyAlignment="1" applyProtection="0">
      <alignment vertical="bottom"/>
    </xf>
    <xf numFmtId="49" fontId="9" borderId="8" applyNumberFormat="1"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49" fontId="6" borderId="1" applyNumberFormat="1" applyFont="1" applyFill="0" applyBorder="1" applyAlignment="1" applyProtection="0">
      <alignment vertical="bottom"/>
    </xf>
    <xf numFmtId="49" fontId="7" borderId="4" applyNumberFormat="1" applyFont="1" applyFill="0" applyBorder="1" applyAlignment="1" applyProtection="0">
      <alignment vertical="bottom"/>
    </xf>
    <xf numFmtId="49" fontId="12" fillId="6" borderId="4" applyNumberFormat="1" applyFont="1" applyFill="1" applyBorder="1" applyAlignment="1" applyProtection="0">
      <alignment vertical="bottom"/>
    </xf>
    <xf numFmtId="49" fontId="12" fillId="6" borderId="5" applyNumberFormat="1" applyFont="1" applyFill="1" applyBorder="1" applyAlignment="1" applyProtection="0">
      <alignment vertical="bottom"/>
    </xf>
    <xf numFmtId="0" fontId="0" fillId="6" borderId="5" applyNumberFormat="0" applyFont="1" applyFill="1" applyBorder="1" applyAlignment="1" applyProtection="0">
      <alignment vertical="bottom"/>
    </xf>
    <xf numFmtId="49" fontId="12" fillId="6" borderId="6" applyNumberFormat="1" applyFont="1" applyFill="1" applyBorder="1" applyAlignment="1" applyProtection="0">
      <alignment vertical="bottom"/>
    </xf>
    <xf numFmtId="49" fontId="9" borderId="4" applyNumberFormat="1" applyFont="1" applyFill="0" applyBorder="1" applyAlignment="1" applyProtection="0">
      <alignment vertical="bottom"/>
    </xf>
    <xf numFmtId="60" fontId="10" borderId="5" applyNumberFormat="1" applyFont="1" applyFill="0" applyBorder="1" applyAlignment="1" applyProtection="0">
      <alignment vertical="bottom"/>
    </xf>
    <xf numFmtId="49" fontId="13" borderId="6" applyNumberFormat="1" applyFont="1" applyFill="0" applyBorder="1" applyAlignment="1" applyProtection="0">
      <alignment vertical="bottom"/>
    </xf>
    <xf numFmtId="61" fontId="10" borderId="5" applyNumberFormat="1" applyFont="1" applyFill="0" applyBorder="1" applyAlignment="1" applyProtection="0">
      <alignment vertical="bottom"/>
    </xf>
    <xf numFmtId="62" fontId="10" borderId="5" applyNumberFormat="1" applyFont="1" applyFill="0" applyBorder="1" applyAlignment="1" applyProtection="0">
      <alignment vertical="bottom"/>
    </xf>
    <xf numFmtId="0" fontId="0" fillId="6" borderId="6" applyNumberFormat="0" applyFont="1" applyFill="1" applyBorder="1" applyAlignment="1" applyProtection="0">
      <alignment vertical="bottom"/>
    </xf>
    <xf numFmtId="63" fontId="10" borderId="5" applyNumberFormat="1" applyFont="1" applyFill="0" applyBorder="1" applyAlignment="1" applyProtection="0">
      <alignment vertical="bottom"/>
    </xf>
    <xf numFmtId="64" fontId="10" borderId="5" applyNumberFormat="1" applyFont="1" applyFill="0" applyBorder="1" applyAlignment="1" applyProtection="0">
      <alignment vertical="bottom"/>
    </xf>
    <xf numFmtId="49" fontId="12" fillId="6" borderId="5" applyNumberFormat="1" applyFont="1" applyFill="1" applyBorder="1" applyAlignment="1" applyProtection="0">
      <alignment horizontal="right" vertical="bottom"/>
    </xf>
    <xf numFmtId="49" fontId="9" borderId="7" applyNumberFormat="1" applyFont="1" applyFill="0" applyBorder="1" applyAlignment="1" applyProtection="0">
      <alignment vertical="bottom"/>
    </xf>
    <xf numFmtId="61" fontId="10" borderId="8" applyNumberFormat="1" applyFont="1" applyFill="0" applyBorder="1" applyAlignment="1" applyProtection="0">
      <alignment vertical="bottom"/>
    </xf>
    <xf numFmtId="49" fontId="13" borderId="9" applyNumberFormat="1" applyFont="1" applyFill="0" applyBorder="1" applyAlignment="1" applyProtection="0">
      <alignment vertical="bottom"/>
    </xf>
    <xf numFmtId="0" fontId="0" applyNumberFormat="1" applyFont="1" applyFill="0" applyBorder="0" applyAlignment="1" applyProtection="0">
      <alignment vertical="bottom"/>
    </xf>
    <xf numFmtId="0" fontId="12" fillId="6" borderId="4" applyNumberFormat="0" applyFont="1" applyFill="1" applyBorder="1" applyAlignment="1" applyProtection="0">
      <alignment vertical="bottom"/>
    </xf>
    <xf numFmtId="49" fontId="12" fillId="6" borderId="6" applyNumberFormat="1" applyFont="1" applyFill="1" applyBorder="1" applyAlignment="1" applyProtection="0">
      <alignment horizontal="right" vertical="bottom"/>
    </xf>
    <xf numFmtId="61" fontId="11" borderId="5" applyNumberFormat="1" applyFont="1" applyFill="0" applyBorder="1" applyAlignment="1" applyProtection="0">
      <alignment vertical="bottom"/>
    </xf>
    <xf numFmtId="61" fontId="11" borderId="6" applyNumberFormat="1" applyFont="1" applyFill="0" applyBorder="1" applyAlignment="1" applyProtection="0">
      <alignment vertical="bottom"/>
    </xf>
    <xf numFmtId="60" fontId="9" borderId="5" applyNumberFormat="1" applyFont="1" applyFill="0" applyBorder="1" applyAlignment="1" applyProtection="0">
      <alignment vertical="bottom"/>
    </xf>
    <xf numFmtId="60" fontId="9" borderId="6" applyNumberFormat="1" applyFont="1" applyFill="0" applyBorder="1" applyAlignment="1" applyProtection="0">
      <alignment vertical="bottom"/>
    </xf>
    <xf numFmtId="49" fontId="8" borderId="4" applyNumberFormat="1" applyFont="1" applyFill="0" applyBorder="1" applyAlignment="1" applyProtection="0">
      <alignment vertical="bottom"/>
    </xf>
    <xf numFmtId="49" fontId="9" borderId="10" applyNumberFormat="1" applyFont="1" applyFill="0" applyBorder="1" applyAlignment="1" applyProtection="0">
      <alignment vertical="bottom"/>
    </xf>
    <xf numFmtId="60" fontId="9" borderId="11" applyNumberFormat="1" applyFont="1" applyFill="0" applyBorder="1" applyAlignment="1" applyProtection="0">
      <alignment vertical="bottom"/>
    </xf>
    <xf numFmtId="60" fontId="9" borderId="12" applyNumberFormat="1" applyFont="1" applyFill="0" applyBorder="1" applyAlignment="1" applyProtection="0">
      <alignment vertical="bottom"/>
    </xf>
    <xf numFmtId="49" fontId="9" borderId="13" applyNumberFormat="1" applyFont="1" applyFill="0" applyBorder="1" applyAlignment="1" applyProtection="0">
      <alignment vertical="bottom"/>
    </xf>
    <xf numFmtId="60" fontId="9" borderId="14" applyNumberFormat="1" applyFont="1" applyFill="0" applyBorder="1" applyAlignment="1" applyProtection="0">
      <alignment vertical="bottom"/>
    </xf>
    <xf numFmtId="60" fontId="9" borderId="15" applyNumberFormat="1" applyFont="1" applyFill="0" applyBorder="1" applyAlignment="1" applyProtection="0">
      <alignment vertical="bottom"/>
    </xf>
    <xf numFmtId="49" fontId="8" borderId="13" applyNumberFormat="1" applyFont="1" applyFill="0" applyBorder="1" applyAlignment="1" applyProtection="0">
      <alignment vertical="bottom"/>
    </xf>
    <xf numFmtId="60" fontId="14" borderId="5" applyNumberFormat="1" applyFont="1" applyFill="0" applyBorder="1" applyAlignment="1" applyProtection="0">
      <alignment vertical="bottom"/>
    </xf>
    <xf numFmtId="60" fontId="8" borderId="14" applyNumberFormat="1" applyFont="1" applyFill="0" applyBorder="1" applyAlignment="1" applyProtection="0">
      <alignment vertical="bottom"/>
    </xf>
    <xf numFmtId="60" fontId="8" borderId="15" applyNumberFormat="1" applyFont="1" applyFill="0" applyBorder="1" applyAlignment="1" applyProtection="0">
      <alignment vertical="bottom"/>
    </xf>
    <xf numFmtId="65" fontId="9" borderId="5" applyNumberFormat="1" applyFont="1" applyFill="0" applyBorder="1" applyAlignment="1" applyProtection="0">
      <alignment vertical="bottom"/>
    </xf>
    <xf numFmtId="65" fontId="9" borderId="6" applyNumberFormat="1" applyFont="1" applyFill="0" applyBorder="1" applyAlignment="1" applyProtection="0">
      <alignment vertical="bottom"/>
    </xf>
    <xf numFmtId="63" fontId="9" borderId="5" applyNumberFormat="1" applyFont="1" applyFill="0" applyBorder="1" applyAlignment="1" applyProtection="0">
      <alignment vertical="bottom"/>
    </xf>
    <xf numFmtId="63" fontId="9" borderId="6" applyNumberFormat="1" applyFont="1" applyFill="0" applyBorder="1" applyAlignment="1" applyProtection="0">
      <alignment vertical="bottom"/>
    </xf>
    <xf numFmtId="49" fontId="9" borderId="16" applyNumberFormat="1" applyFont="1" applyFill="0" applyBorder="1" applyAlignment="1" applyProtection="0">
      <alignment vertical="bottom"/>
    </xf>
    <xf numFmtId="60" fontId="9" borderId="17" applyNumberFormat="1" applyFont="1" applyFill="0" applyBorder="1" applyAlignment="1" applyProtection="0">
      <alignment vertical="bottom"/>
    </xf>
    <xf numFmtId="60" fontId="9" borderId="18" applyNumberFormat="1" applyFont="1" applyFill="0" applyBorder="1" applyAlignment="1" applyProtection="0">
      <alignment vertical="bottom"/>
    </xf>
    <xf numFmtId="60" fontId="8" fillId="5" borderId="14" applyNumberFormat="1" applyFont="1" applyFill="1" applyBorder="1" applyAlignment="1" applyProtection="0">
      <alignment vertical="bottom"/>
    </xf>
    <xf numFmtId="60" fontId="8" fillId="5" borderId="15" applyNumberFormat="1" applyFont="1" applyFill="1" applyBorder="1" applyAlignment="1" applyProtection="0">
      <alignment vertical="bottom"/>
    </xf>
    <xf numFmtId="61" fontId="9" borderId="5" applyNumberFormat="1" applyFont="1" applyFill="0" applyBorder="1" applyAlignment="1" applyProtection="0">
      <alignment vertical="bottom"/>
    </xf>
    <xf numFmtId="61" fontId="9" borderId="6" applyNumberFormat="1" applyFont="1" applyFill="0" applyBorder="1" applyAlignment="1" applyProtection="0">
      <alignment vertical="bottom"/>
    </xf>
    <xf numFmtId="64" fontId="9" borderId="5" applyNumberFormat="1" applyFont="1" applyFill="0" applyBorder="1" applyAlignment="1" applyProtection="0">
      <alignment vertical="bottom"/>
    </xf>
    <xf numFmtId="64" fontId="9" borderId="6" applyNumberFormat="1" applyFont="1" applyFill="0" applyBorder="1" applyAlignment="1" applyProtection="0">
      <alignment vertical="bottom"/>
    </xf>
    <xf numFmtId="49" fontId="8" borderId="19" applyNumberFormat="1" applyFont="1" applyFill="0" applyBorder="1" applyAlignment="1" applyProtection="0">
      <alignment vertical="bottom"/>
    </xf>
    <xf numFmtId="60" fontId="8" borderId="20" applyNumberFormat="1" applyFont="1" applyFill="0" applyBorder="1" applyAlignment="1" applyProtection="0">
      <alignment vertical="bottom"/>
    </xf>
    <xf numFmtId="60" fontId="8" borderId="21" applyNumberFormat="1" applyFont="1" applyFill="0" applyBorder="1" applyAlignment="1" applyProtection="0">
      <alignment vertical="bottom"/>
    </xf>
    <xf numFmtId="0" fontId="0" applyNumberFormat="1" applyFont="1" applyFill="0" applyBorder="0" applyAlignment="1" applyProtection="0">
      <alignment vertical="bottom"/>
    </xf>
    <xf numFmtId="59" fontId="9" borderId="5" applyNumberFormat="1" applyFont="1" applyFill="0" applyBorder="1" applyAlignment="1" applyProtection="0">
      <alignment vertical="bottom"/>
    </xf>
    <xf numFmtId="2" fontId="10" borderId="5" applyNumberFormat="1" applyFont="1" applyFill="0" applyBorder="1" applyAlignment="1" applyProtection="0">
      <alignment vertical="bottom"/>
    </xf>
    <xf numFmtId="64" fontId="11" borderId="5" applyNumberFormat="1" applyFont="1" applyFill="0" applyBorder="1" applyAlignment="1" applyProtection="0">
      <alignment vertical="bottom"/>
    </xf>
    <xf numFmtId="0" fontId="13" borderId="6" applyNumberFormat="0" applyFont="1" applyFill="0" applyBorder="1" applyAlignment="1" applyProtection="0">
      <alignment vertical="bottom"/>
    </xf>
    <xf numFmtId="64" fontId="8" borderId="5" applyNumberFormat="1" applyFont="1" applyFill="0" applyBorder="1" applyAlignment="1" applyProtection="0">
      <alignment vertical="bottom"/>
    </xf>
    <xf numFmtId="60" fontId="11" borderId="5" applyNumberFormat="1" applyFont="1" applyFill="0" applyBorder="1" applyAlignment="1" applyProtection="0">
      <alignment vertical="bottom"/>
    </xf>
    <xf numFmtId="60" fontId="11" borderId="11" applyNumberFormat="1" applyFont="1" applyFill="0" applyBorder="1" applyAlignment="1" applyProtection="0">
      <alignment vertical="bottom"/>
    </xf>
    <xf numFmtId="2" fontId="9" borderId="5" applyNumberFormat="1" applyFont="1" applyFill="0" applyBorder="1" applyAlignment="1" applyProtection="0">
      <alignment vertical="bottom"/>
    </xf>
    <xf numFmtId="66" fontId="9" borderId="5" applyNumberFormat="1" applyFont="1" applyFill="0" applyBorder="1" applyAlignment="1" applyProtection="0">
      <alignment vertical="bottom"/>
    </xf>
    <xf numFmtId="60" fontId="8" borderId="5" applyNumberFormat="1" applyFont="1" applyFill="0" applyBorder="1" applyAlignment="1" applyProtection="0">
      <alignment vertical="bottom"/>
    </xf>
    <xf numFmtId="60" fontId="8" fillId="5" borderId="5" applyNumberFormat="1" applyFont="1" applyFill="1" applyBorder="1" applyAlignment="1" applyProtection="0">
      <alignment vertical="bottom"/>
    </xf>
    <xf numFmtId="67" fontId="11" borderId="5" applyNumberFormat="1" applyFont="1" applyFill="0" applyBorder="1" applyAlignment="1" applyProtection="0">
      <alignment vertical="bottom"/>
    </xf>
    <xf numFmtId="61" fontId="9" borderId="8"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595959"/>
      <rgbColor rgb="ffffffff"/>
      <rgbColor rgb="ff008000"/>
      <rgbColor rgb="ffffff00"/>
      <rgbColor rgb="ff1f3864"/>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2.xml><?xml version="1.0" encoding="utf-8"?>
<worksheet xmlns:r="http://schemas.openxmlformats.org/officeDocument/2006/relationships" xmlns="http://schemas.openxmlformats.org/spreadsheetml/2006/main">
  <dimension ref="A1:E23"/>
  <sheetViews>
    <sheetView workbookViewId="0" showGridLines="0" defaultGridColor="1"/>
  </sheetViews>
  <sheetFormatPr defaultColWidth="8.83333" defaultRowHeight="15" customHeight="1" outlineLevelRow="0" outlineLevelCol="0"/>
  <cols>
    <col min="1" max="1" width="3" style="6" customWidth="1"/>
    <col min="2" max="2" width="28" style="6" customWidth="1"/>
    <col min="3" max="3" width="72" style="6" customWidth="1"/>
    <col min="4" max="5" width="8.85156" style="6" customWidth="1"/>
    <col min="6" max="16384" width="8.85156" style="6" customWidth="1"/>
  </cols>
  <sheetData>
    <row r="1" ht="13.55" customHeight="1">
      <c r="A1" s="7"/>
      <c r="B1" s="8"/>
      <c r="C1" s="8"/>
      <c r="D1" s="8"/>
      <c r="E1" s="9"/>
    </row>
    <row r="2" ht="18.5" customHeight="1">
      <c r="A2" s="10"/>
      <c r="B2" t="s" s="11">
        <v>6</v>
      </c>
      <c r="C2" s="12"/>
      <c r="D2" s="12"/>
      <c r="E2" s="13"/>
    </row>
    <row r="3" ht="13.65" customHeight="1">
      <c r="A3" s="10"/>
      <c r="B3" t="s" s="14">
        <v>7</v>
      </c>
      <c r="C3" s="12"/>
      <c r="D3" s="12"/>
      <c r="E3" s="13"/>
    </row>
    <row r="4" ht="13.55" customHeight="1">
      <c r="A4" s="10"/>
      <c r="B4" s="12"/>
      <c r="C4" s="12"/>
      <c r="D4" s="12"/>
      <c r="E4" s="13"/>
    </row>
    <row r="5" ht="13.65" customHeight="1">
      <c r="A5" s="10"/>
      <c r="B5" t="s" s="15">
        <v>8</v>
      </c>
      <c r="C5" s="16">
        <v>45778</v>
      </c>
      <c r="D5" s="12"/>
      <c r="E5" s="13"/>
    </row>
    <row r="6" ht="13.65" customHeight="1">
      <c r="A6" s="10"/>
      <c r="B6" t="s" s="15">
        <v>9</v>
      </c>
      <c r="C6" t="s" s="17">
        <v>10</v>
      </c>
      <c r="D6" s="12"/>
      <c r="E6" s="13"/>
    </row>
    <row r="7" ht="13.65" customHeight="1">
      <c r="A7" s="10"/>
      <c r="B7" t="s" s="15">
        <v>11</v>
      </c>
      <c r="C7" t="s" s="17">
        <v>12</v>
      </c>
      <c r="D7" s="12"/>
      <c r="E7" s="13"/>
    </row>
    <row r="8" ht="13.65" customHeight="1">
      <c r="A8" s="10"/>
      <c r="B8" t="s" s="15">
        <v>13</v>
      </c>
      <c r="C8" t="s" s="17">
        <v>14</v>
      </c>
      <c r="D8" s="12"/>
      <c r="E8" s="13"/>
    </row>
    <row r="9" ht="13.65" customHeight="1">
      <c r="A9" s="10"/>
      <c r="B9" t="s" s="15">
        <v>15</v>
      </c>
      <c r="C9" t="s" s="17">
        <v>16</v>
      </c>
      <c r="D9" s="12"/>
      <c r="E9" s="13"/>
    </row>
    <row r="10" ht="13.65" customHeight="1">
      <c r="A10" s="10"/>
      <c r="B10" t="s" s="15">
        <v>17</v>
      </c>
      <c r="C10" t="s" s="17">
        <v>18</v>
      </c>
      <c r="D10" s="12"/>
      <c r="E10" s="13"/>
    </row>
    <row r="11" ht="13.55" customHeight="1">
      <c r="A11" s="10"/>
      <c r="B11" s="12"/>
      <c r="C11" s="12"/>
      <c r="D11" s="12"/>
      <c r="E11" s="13"/>
    </row>
    <row r="12" ht="42" customHeight="1">
      <c r="A12" s="10"/>
      <c r="B12" t="s" s="15">
        <v>19</v>
      </c>
      <c r="C12" t="s" s="18">
        <v>20</v>
      </c>
      <c r="D12" s="12"/>
      <c r="E12" s="13"/>
    </row>
    <row r="13" ht="13.55" customHeight="1">
      <c r="A13" s="10"/>
      <c r="B13" s="12"/>
      <c r="C13" s="12"/>
      <c r="D13" s="12"/>
      <c r="E13" s="13"/>
    </row>
    <row r="14" ht="13.65" customHeight="1">
      <c r="A14" s="10"/>
      <c r="B14" t="s" s="15">
        <v>21</v>
      </c>
      <c r="C14" s="12"/>
      <c r="D14" s="12"/>
      <c r="E14" s="13"/>
    </row>
    <row r="15" ht="13.65" customHeight="1">
      <c r="A15" s="10"/>
      <c r="B15" t="s" s="19">
        <v>22</v>
      </c>
      <c r="C15" t="s" s="19">
        <v>23</v>
      </c>
      <c r="D15" s="12"/>
      <c r="E15" s="13"/>
    </row>
    <row r="16" ht="13.65" customHeight="1">
      <c r="A16" s="10"/>
      <c r="B16" t="s" s="19">
        <v>24</v>
      </c>
      <c r="C16" t="s" s="19">
        <v>25</v>
      </c>
      <c r="D16" s="12"/>
      <c r="E16" s="13"/>
    </row>
    <row r="17" ht="13.65" customHeight="1">
      <c r="A17" s="10"/>
      <c r="B17" t="s" s="19">
        <v>26</v>
      </c>
      <c r="C17" t="s" s="19">
        <v>27</v>
      </c>
      <c r="D17" s="12"/>
      <c r="E17" s="13"/>
    </row>
    <row r="18" ht="13.55" customHeight="1">
      <c r="A18" s="10"/>
      <c r="B18" s="12"/>
      <c r="C18" s="12"/>
      <c r="D18" s="12"/>
      <c r="E18" s="13"/>
    </row>
    <row r="19" ht="13.65" customHeight="1">
      <c r="A19" s="10"/>
      <c r="B19" t="s" s="15">
        <v>28</v>
      </c>
      <c r="C19" s="12"/>
      <c r="D19" s="12"/>
      <c r="E19" s="13"/>
    </row>
    <row r="20" ht="13.65" customHeight="1">
      <c r="A20" s="10"/>
      <c r="B20" t="s" s="20">
        <v>29</v>
      </c>
      <c r="C20" t="s" s="19">
        <v>30</v>
      </c>
      <c r="D20" s="12"/>
      <c r="E20" s="13"/>
    </row>
    <row r="21" ht="13.65" customHeight="1">
      <c r="A21" s="10"/>
      <c r="B21" t="s" s="19">
        <v>29</v>
      </c>
      <c r="C21" t="s" s="19">
        <v>31</v>
      </c>
      <c r="D21" s="12"/>
      <c r="E21" s="13"/>
    </row>
    <row r="22" ht="13.65" customHeight="1">
      <c r="A22" s="10"/>
      <c r="B22" t="s" s="21">
        <v>29</v>
      </c>
      <c r="C22" t="s" s="19">
        <v>32</v>
      </c>
      <c r="D22" s="12"/>
      <c r="E22" s="13"/>
    </row>
    <row r="23" ht="13.65" customHeight="1">
      <c r="A23" s="22"/>
      <c r="B23" s="23"/>
      <c r="C23" t="s" s="24">
        <v>33</v>
      </c>
      <c r="D23" s="25"/>
      <c r="E23" s="2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H38"/>
  <sheetViews>
    <sheetView workbookViewId="0" showGridLines="0" defaultGridColor="1"/>
  </sheetViews>
  <sheetFormatPr defaultColWidth="8.83333" defaultRowHeight="15" customHeight="1" outlineLevelRow="0" outlineLevelCol="0"/>
  <cols>
    <col min="1" max="1" width="54" style="27" customWidth="1"/>
    <col min="2" max="2" width="12" style="27" customWidth="1"/>
    <col min="3" max="3" width="14" style="27" customWidth="1"/>
    <col min="4" max="6" width="12" style="27" customWidth="1"/>
    <col min="7" max="7" width="8.85156" style="27" customWidth="1"/>
    <col min="8" max="8" width="74" style="27" customWidth="1"/>
    <col min="9" max="16384" width="8.85156" style="27" customWidth="1"/>
  </cols>
  <sheetData>
    <row r="1" ht="18.5" customHeight="1">
      <c r="A1" t="s" s="28">
        <v>34</v>
      </c>
      <c r="B1" s="8"/>
      <c r="C1" s="8"/>
      <c r="D1" s="8"/>
      <c r="E1" s="8"/>
      <c r="F1" s="8"/>
      <c r="G1" s="8"/>
      <c r="H1" s="9"/>
    </row>
    <row r="2" ht="13.65" customHeight="1">
      <c r="A2" t="s" s="29">
        <v>35</v>
      </c>
      <c r="B2" s="12"/>
      <c r="C2" s="12"/>
      <c r="D2" s="12"/>
      <c r="E2" s="12"/>
      <c r="F2" s="12"/>
      <c r="G2" s="12"/>
      <c r="H2" s="13"/>
    </row>
    <row r="3" ht="13.55" customHeight="1">
      <c r="A3" s="10"/>
      <c r="B3" s="12"/>
      <c r="C3" s="12"/>
      <c r="D3" s="12"/>
      <c r="E3" s="12"/>
      <c r="F3" s="12"/>
      <c r="G3" s="12"/>
      <c r="H3" s="13"/>
    </row>
    <row r="4" ht="13.65" customHeight="1">
      <c r="A4" t="s" s="30">
        <v>36</v>
      </c>
      <c r="B4" t="s" s="31">
        <v>37</v>
      </c>
      <c r="C4" t="s" s="31">
        <v>38</v>
      </c>
      <c r="D4" s="32"/>
      <c r="E4" s="32"/>
      <c r="F4" s="32"/>
      <c r="G4" s="32"/>
      <c r="H4" t="s" s="33">
        <v>39</v>
      </c>
    </row>
    <row r="5" ht="13.65" customHeight="1">
      <c r="A5" t="s" s="34">
        <v>40</v>
      </c>
      <c r="B5" s="35">
        <v>7950</v>
      </c>
      <c r="C5" t="s" s="19">
        <v>41</v>
      </c>
      <c r="D5" s="12"/>
      <c r="E5" s="12"/>
      <c r="F5" s="12"/>
      <c r="G5" s="12"/>
      <c r="H5" t="s" s="36">
        <v>42</v>
      </c>
    </row>
    <row r="6" ht="13.65" customHeight="1">
      <c r="A6" t="s" s="34">
        <v>43</v>
      </c>
      <c r="B6" s="35">
        <v>62</v>
      </c>
      <c r="C6" t="s" s="19">
        <v>44</v>
      </c>
      <c r="D6" s="12"/>
      <c r="E6" s="12"/>
      <c r="F6" s="12"/>
      <c r="G6" s="12"/>
      <c r="H6" t="s" s="36">
        <v>45</v>
      </c>
    </row>
    <row r="7" ht="13.65" customHeight="1">
      <c r="A7" t="s" s="34">
        <v>46</v>
      </c>
      <c r="B7" s="37">
        <v>0.84</v>
      </c>
      <c r="C7" t="s" s="19">
        <v>47</v>
      </c>
      <c r="D7" s="12"/>
      <c r="E7" s="12"/>
      <c r="F7" s="12"/>
      <c r="G7" s="12"/>
      <c r="H7" t="s" s="36">
        <v>48</v>
      </c>
    </row>
    <row r="8" ht="13.65" customHeight="1">
      <c r="A8" t="s" s="34">
        <v>49</v>
      </c>
      <c r="B8" s="37">
        <v>0.7</v>
      </c>
      <c r="C8" t="s" s="19">
        <v>47</v>
      </c>
      <c r="D8" s="12"/>
      <c r="E8" s="12"/>
      <c r="F8" s="12"/>
      <c r="G8" s="12"/>
      <c r="H8" t="s" s="36">
        <v>45</v>
      </c>
    </row>
    <row r="9" ht="13.65" customHeight="1">
      <c r="A9" t="s" s="34">
        <v>50</v>
      </c>
      <c r="B9" s="38">
        <v>17.2</v>
      </c>
      <c r="C9" t="s" s="19">
        <v>51</v>
      </c>
      <c r="D9" s="12"/>
      <c r="E9" s="12"/>
      <c r="F9" s="12"/>
      <c r="G9" s="12"/>
      <c r="H9" t="s" s="36">
        <v>48</v>
      </c>
    </row>
    <row r="10" ht="13.65" customHeight="1">
      <c r="A10" t="s" s="34">
        <v>52</v>
      </c>
      <c r="B10" s="35">
        <v>260</v>
      </c>
      <c r="C10" t="s" s="19">
        <v>53</v>
      </c>
      <c r="D10" s="12"/>
      <c r="E10" s="12"/>
      <c r="F10" s="12"/>
      <c r="G10" s="12"/>
      <c r="H10" t="s" s="36">
        <v>54</v>
      </c>
    </row>
    <row r="11" ht="13.65" customHeight="1">
      <c r="A11" t="s" s="34">
        <v>55</v>
      </c>
      <c r="B11" s="37">
        <v>0.09</v>
      </c>
      <c r="C11" t="s" s="19">
        <v>47</v>
      </c>
      <c r="D11" s="12"/>
      <c r="E11" s="12"/>
      <c r="F11" s="12"/>
      <c r="G11" s="12"/>
      <c r="H11" t="s" s="36">
        <v>56</v>
      </c>
    </row>
    <row r="12" ht="13.55" customHeight="1">
      <c r="A12" s="10"/>
      <c r="B12" s="12"/>
      <c r="C12" s="12"/>
      <c r="D12" s="12"/>
      <c r="E12" s="12"/>
      <c r="F12" s="12"/>
      <c r="G12" s="12"/>
      <c r="H12" s="13"/>
    </row>
    <row r="13" ht="13.65" customHeight="1">
      <c r="A13" t="s" s="30">
        <v>57</v>
      </c>
      <c r="B13" s="32"/>
      <c r="C13" s="32"/>
      <c r="D13" s="32"/>
      <c r="E13" s="32"/>
      <c r="F13" s="32"/>
      <c r="G13" s="32"/>
      <c r="H13" s="39"/>
    </row>
    <row r="14" ht="13.65" customHeight="1">
      <c r="A14" t="s" s="34">
        <v>58</v>
      </c>
      <c r="B14" s="40">
        <v>1.909</v>
      </c>
      <c r="C14" t="s" s="19">
        <v>59</v>
      </c>
      <c r="D14" s="12"/>
      <c r="E14" s="12"/>
      <c r="F14" s="12"/>
      <c r="G14" s="12"/>
      <c r="H14" t="s" s="36">
        <v>60</v>
      </c>
    </row>
    <row r="15" ht="13.65" customHeight="1">
      <c r="A15" t="s" s="34">
        <v>61</v>
      </c>
      <c r="B15" s="37">
        <v>0.075</v>
      </c>
      <c r="C15" t="s" s="19">
        <v>47</v>
      </c>
      <c r="D15" s="12"/>
      <c r="E15" s="12"/>
      <c r="F15" s="12"/>
      <c r="G15" s="12"/>
      <c r="H15" t="s" s="36">
        <v>62</v>
      </c>
    </row>
    <row r="16" ht="13.65" customHeight="1">
      <c r="A16" t="s" s="34">
        <v>63</v>
      </c>
      <c r="B16" s="37">
        <v>0.21</v>
      </c>
      <c r="C16" t="s" s="19">
        <v>47</v>
      </c>
      <c r="D16" s="12"/>
      <c r="E16" s="12"/>
      <c r="F16" s="12"/>
      <c r="G16" s="12"/>
      <c r="H16" t="s" s="36">
        <v>64</v>
      </c>
    </row>
    <row r="17" ht="13.55" customHeight="1">
      <c r="A17" s="10"/>
      <c r="B17" s="12"/>
      <c r="C17" s="12"/>
      <c r="D17" s="12"/>
      <c r="E17" s="12"/>
      <c r="F17" s="12"/>
      <c r="G17" s="12"/>
      <c r="H17" s="13"/>
    </row>
    <row r="18" ht="13.65" customHeight="1">
      <c r="A18" t="s" s="30">
        <v>65</v>
      </c>
      <c r="B18" s="32"/>
      <c r="C18" s="32"/>
      <c r="D18" s="32"/>
      <c r="E18" s="32"/>
      <c r="F18" s="32"/>
      <c r="G18" s="32"/>
      <c r="H18" s="39"/>
    </row>
    <row r="19" ht="13.65" customHeight="1">
      <c r="A19" t="s" s="34">
        <v>66</v>
      </c>
      <c r="B19" s="37">
        <v>0.7</v>
      </c>
      <c r="C19" t="s" s="19">
        <v>47</v>
      </c>
      <c r="D19" s="12"/>
      <c r="E19" s="12"/>
      <c r="F19" s="12"/>
      <c r="G19" s="12"/>
      <c r="H19" t="s" s="36">
        <v>67</v>
      </c>
    </row>
    <row r="20" ht="13.65" customHeight="1">
      <c r="A20" t="s" s="34">
        <v>68</v>
      </c>
      <c r="B20" s="40">
        <v>2.1</v>
      </c>
      <c r="C20" t="s" s="19">
        <v>59</v>
      </c>
      <c r="D20" s="12"/>
      <c r="E20" s="12"/>
      <c r="F20" s="12"/>
      <c r="G20" s="12"/>
      <c r="H20" t="s" s="36">
        <v>69</v>
      </c>
    </row>
    <row r="21" ht="13.55" customHeight="1">
      <c r="A21" s="10"/>
      <c r="B21" s="12"/>
      <c r="C21" s="12"/>
      <c r="D21" s="12"/>
      <c r="E21" s="12"/>
      <c r="F21" s="12"/>
      <c r="G21" s="12"/>
      <c r="H21" s="13"/>
    </row>
    <row r="22" ht="13.65" customHeight="1">
      <c r="A22" t="s" s="30">
        <v>70</v>
      </c>
      <c r="B22" s="32"/>
      <c r="C22" s="32"/>
      <c r="D22" s="32"/>
      <c r="E22" s="32"/>
      <c r="F22" s="32"/>
      <c r="G22" s="32"/>
      <c r="H22" s="39"/>
    </row>
    <row r="23" ht="13.65" customHeight="1">
      <c r="A23" t="s" s="34">
        <v>71</v>
      </c>
      <c r="B23" s="35">
        <v>82</v>
      </c>
      <c r="C23" t="s" s="19">
        <v>72</v>
      </c>
      <c r="D23" s="12"/>
      <c r="E23" s="12"/>
      <c r="F23" s="12"/>
      <c r="G23" s="12"/>
      <c r="H23" t="s" s="36">
        <v>73</v>
      </c>
    </row>
    <row r="24" ht="13.65" customHeight="1">
      <c r="A24" t="s" s="34">
        <v>74</v>
      </c>
      <c r="B24" s="38">
        <v>4.1</v>
      </c>
      <c r="C24" t="s" s="19">
        <v>75</v>
      </c>
      <c r="D24" s="12"/>
      <c r="E24" s="12"/>
      <c r="F24" s="12"/>
      <c r="G24" s="12"/>
      <c r="H24" t="s" s="36">
        <v>76</v>
      </c>
    </row>
    <row r="25" ht="13.65" customHeight="1">
      <c r="A25" t="s" s="34">
        <v>77</v>
      </c>
      <c r="B25" s="38">
        <v>5</v>
      </c>
      <c r="C25" t="s" s="19">
        <v>75</v>
      </c>
      <c r="D25" s="12"/>
      <c r="E25" s="12"/>
      <c r="F25" s="12"/>
      <c r="G25" s="12"/>
      <c r="H25" t="s" s="36">
        <v>56</v>
      </c>
    </row>
    <row r="26" ht="13.65" customHeight="1">
      <c r="A26" t="s" s="34">
        <v>78</v>
      </c>
      <c r="B26" s="37">
        <v>0.055</v>
      </c>
      <c r="C26" t="s" s="19">
        <v>47</v>
      </c>
      <c r="D26" s="12"/>
      <c r="E26" s="12"/>
      <c r="F26" s="12"/>
      <c r="G26" s="12"/>
      <c r="H26" t="s" s="36">
        <v>56</v>
      </c>
    </row>
    <row r="27" ht="13.65" customHeight="1">
      <c r="A27" t="s" s="34">
        <v>79</v>
      </c>
      <c r="B27" s="37">
        <v>0.055</v>
      </c>
      <c r="C27" t="s" s="19">
        <v>47</v>
      </c>
      <c r="D27" s="12"/>
      <c r="E27" s="12"/>
      <c r="F27" s="12"/>
      <c r="G27" s="12"/>
      <c r="H27" t="s" s="36">
        <v>80</v>
      </c>
    </row>
    <row r="28" ht="13.65" customHeight="1">
      <c r="A28" t="s" s="34">
        <v>81</v>
      </c>
      <c r="B28" s="37">
        <v>-0.08</v>
      </c>
      <c r="C28" t="s" s="19">
        <v>47</v>
      </c>
      <c r="D28" s="12"/>
      <c r="E28" s="12"/>
      <c r="F28" s="12"/>
      <c r="G28" s="12"/>
      <c r="H28" t="s" s="36">
        <v>82</v>
      </c>
    </row>
    <row r="29" ht="13.55" customHeight="1">
      <c r="A29" s="10"/>
      <c r="B29" s="12"/>
      <c r="C29" s="12"/>
      <c r="D29" s="12"/>
      <c r="E29" s="12"/>
      <c r="F29" s="12"/>
      <c r="G29" s="12"/>
      <c r="H29" s="13"/>
    </row>
    <row r="30" ht="13.65" customHeight="1">
      <c r="A30" t="s" s="30">
        <v>83</v>
      </c>
      <c r="B30" s="32"/>
      <c r="C30" s="32"/>
      <c r="D30" s="32"/>
      <c r="E30" s="32"/>
      <c r="F30" s="32"/>
      <c r="G30" s="32"/>
      <c r="H30" s="39"/>
    </row>
    <row r="31" ht="13.65" customHeight="1">
      <c r="A31" t="s" s="34">
        <v>84</v>
      </c>
      <c r="B31" s="35">
        <v>4450</v>
      </c>
      <c r="C31" t="s" s="19">
        <v>41</v>
      </c>
      <c r="D31" s="12"/>
      <c r="E31" s="12"/>
      <c r="F31" s="12"/>
      <c r="G31" s="12"/>
      <c r="H31" t="s" s="36">
        <v>85</v>
      </c>
    </row>
    <row r="32" ht="13.65" customHeight="1">
      <c r="A32" t="s" s="34">
        <v>86</v>
      </c>
      <c r="B32" s="37">
        <v>0.06</v>
      </c>
      <c r="C32" t="s" s="19">
        <v>47</v>
      </c>
      <c r="D32" s="12"/>
      <c r="E32" s="12"/>
      <c r="F32" s="12"/>
      <c r="G32" s="12"/>
      <c r="H32" t="s" s="36">
        <v>87</v>
      </c>
    </row>
    <row r="33" ht="13.65" customHeight="1">
      <c r="A33" t="s" s="34">
        <v>88</v>
      </c>
      <c r="B33" s="41">
        <v>0.0441</v>
      </c>
      <c r="C33" t="s" s="19">
        <v>47</v>
      </c>
      <c r="D33" s="12"/>
      <c r="E33" s="12"/>
      <c r="F33" s="12"/>
      <c r="G33" s="12"/>
      <c r="H33" t="s" s="36">
        <v>89</v>
      </c>
    </row>
    <row r="34" ht="13.65" customHeight="1">
      <c r="A34" t="s" s="34">
        <v>90</v>
      </c>
      <c r="B34" s="41">
        <v>0.021</v>
      </c>
      <c r="C34" t="s" s="19">
        <v>47</v>
      </c>
      <c r="D34" s="12"/>
      <c r="E34" s="12"/>
      <c r="F34" s="12"/>
      <c r="G34" s="12"/>
      <c r="H34" t="s" s="36">
        <v>91</v>
      </c>
    </row>
    <row r="35" ht="13.65" customHeight="1">
      <c r="A35" t="s" s="34">
        <v>92</v>
      </c>
      <c r="B35" s="35">
        <v>3000</v>
      </c>
      <c r="C35" t="s" s="19">
        <v>41</v>
      </c>
      <c r="D35" s="12"/>
      <c r="E35" s="12"/>
      <c r="F35" s="12"/>
      <c r="G35" s="12"/>
      <c r="H35" t="s" s="36">
        <v>93</v>
      </c>
    </row>
    <row r="36" ht="13.55" customHeight="1">
      <c r="A36" s="10"/>
      <c r="B36" s="12"/>
      <c r="C36" s="12"/>
      <c r="D36" s="12"/>
      <c r="E36" s="12"/>
      <c r="F36" s="12"/>
      <c r="G36" s="12"/>
      <c r="H36" s="13"/>
    </row>
    <row r="37" ht="13.65" customHeight="1">
      <c r="A37" t="s" s="30">
        <v>94</v>
      </c>
      <c r="B37" t="s" s="42">
        <v>95</v>
      </c>
      <c r="C37" t="s" s="42">
        <v>96</v>
      </c>
      <c r="D37" t="s" s="42">
        <v>97</v>
      </c>
      <c r="E37" t="s" s="42">
        <v>98</v>
      </c>
      <c r="F37" t="s" s="42">
        <v>99</v>
      </c>
      <c r="G37" s="32"/>
      <c r="H37" s="39"/>
    </row>
    <row r="38" ht="13.65" customHeight="1">
      <c r="A38" t="s" s="43">
        <v>100</v>
      </c>
      <c r="B38" s="44">
        <v>0.05</v>
      </c>
      <c r="C38" s="44">
        <v>0.045</v>
      </c>
      <c r="D38" s="44">
        <v>0.04</v>
      </c>
      <c r="E38" s="44">
        <v>0.04</v>
      </c>
      <c r="F38" s="44">
        <v>0.035</v>
      </c>
      <c r="G38" s="25"/>
      <c r="H38" t="s" s="45">
        <v>80</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38"/>
  <sheetViews>
    <sheetView workbookViewId="0" showGridLines="0" defaultGridColor="1"/>
  </sheetViews>
  <sheetFormatPr defaultColWidth="8.83333" defaultRowHeight="15" customHeight="1" outlineLevelRow="0" outlineLevelCol="0"/>
  <cols>
    <col min="1" max="1" width="46" style="46" customWidth="1"/>
    <col min="2" max="7" width="12" style="46" customWidth="1"/>
    <col min="8" max="16384" width="8.85156" style="46" customWidth="1"/>
  </cols>
  <sheetData>
    <row r="1" ht="18.5" customHeight="1">
      <c r="A1" t="s" s="28">
        <v>101</v>
      </c>
      <c r="B1" s="8"/>
      <c r="C1" s="8"/>
      <c r="D1" s="8"/>
      <c r="E1" s="8"/>
      <c r="F1" s="8"/>
      <c r="G1" s="9"/>
    </row>
    <row r="2" ht="13.65" customHeight="1">
      <c r="A2" t="s" s="29">
        <v>16</v>
      </c>
      <c r="B2" s="12"/>
      <c r="C2" s="12"/>
      <c r="D2" s="12"/>
      <c r="E2" s="12"/>
      <c r="F2" s="12"/>
      <c r="G2" s="13"/>
    </row>
    <row r="3" ht="13.55" customHeight="1">
      <c r="A3" s="10"/>
      <c r="B3" s="12"/>
      <c r="C3" s="12"/>
      <c r="D3" s="12"/>
      <c r="E3" s="12"/>
      <c r="F3" s="12"/>
      <c r="G3" s="13"/>
    </row>
    <row r="4" ht="13.65" customHeight="1">
      <c r="A4" s="47"/>
      <c r="B4" t="s" s="42">
        <v>102</v>
      </c>
      <c r="C4" t="s" s="42">
        <v>95</v>
      </c>
      <c r="D4" t="s" s="42">
        <v>96</v>
      </c>
      <c r="E4" t="s" s="42">
        <v>97</v>
      </c>
      <c r="F4" t="s" s="42">
        <v>98</v>
      </c>
      <c r="G4" t="s" s="48">
        <v>99</v>
      </c>
    </row>
    <row r="5" ht="13.65" customHeight="1">
      <c r="A5" t="s" s="34">
        <v>94</v>
      </c>
      <c r="B5" s="12"/>
      <c r="C5" s="49">
        <f>'Assumptions'!B38</f>
        <v>0.05</v>
      </c>
      <c r="D5" s="49">
        <f>'Assumptions'!C38</f>
        <v>0.045</v>
      </c>
      <c r="E5" s="49">
        <f>'Assumptions'!D38</f>
        <v>0.04</v>
      </c>
      <c r="F5" s="49">
        <f>'Assumptions'!E38</f>
        <v>0.04</v>
      </c>
      <c r="G5" s="50">
        <f>'Assumptions'!F38</f>
        <v>0.035</v>
      </c>
    </row>
    <row r="6" ht="13.65" customHeight="1">
      <c r="A6" t="s" s="34">
        <v>103</v>
      </c>
      <c r="B6" s="12"/>
      <c r="C6" s="51">
        <f>'Assumptions'!$B$6</f>
        <v>62</v>
      </c>
      <c r="D6" s="51">
        <f>C6*(1+'Assumptions'!C38)</f>
        <v>64.79000000000001</v>
      </c>
      <c r="E6" s="51">
        <f>D6*(1+'Assumptions'!D38)</f>
        <v>67.38160000000001</v>
      </c>
      <c r="F6" s="51">
        <f>E6*(1+'Assumptions'!E38)</f>
        <v>70.076864</v>
      </c>
      <c r="G6" s="52">
        <f>F6*(1+'Assumptions'!F38)</f>
        <v>72.52955424</v>
      </c>
    </row>
    <row r="7" ht="13.65" customHeight="1">
      <c r="A7" t="s" s="34">
        <v>104</v>
      </c>
      <c r="B7" s="12"/>
      <c r="C7" s="51">
        <f>C6*'Assumptions'!$B$7*'Assumptions'!$B$8</f>
        <v>36.456</v>
      </c>
      <c r="D7" s="51">
        <f>D6*'Assumptions'!$B$7*'Assumptions'!$B$8</f>
        <v>38.09652</v>
      </c>
      <c r="E7" s="51">
        <f>E6*'Assumptions'!$B$7*'Assumptions'!$B$8</f>
        <v>39.6203808</v>
      </c>
      <c r="F7" s="51">
        <f>F6*'Assumptions'!$B$7*'Assumptions'!$B$8</f>
        <v>41.205196032</v>
      </c>
      <c r="G7" s="52">
        <f>G6*'Assumptions'!$B$7*'Assumptions'!$B$8</f>
        <v>42.647377893120</v>
      </c>
    </row>
    <row r="8" ht="13.55" customHeight="1">
      <c r="A8" s="10"/>
      <c r="B8" s="12"/>
      <c r="C8" s="12"/>
      <c r="D8" s="12"/>
      <c r="E8" s="12"/>
      <c r="F8" s="12"/>
      <c r="G8" s="13"/>
    </row>
    <row r="9" ht="13.65" customHeight="1">
      <c r="A9" t="s" s="53">
        <v>105</v>
      </c>
      <c r="B9" s="12"/>
      <c r="C9" s="12"/>
      <c r="D9" s="12"/>
      <c r="E9" s="12"/>
      <c r="F9" s="12"/>
      <c r="G9" s="13"/>
    </row>
    <row r="10" ht="13.65" customHeight="1">
      <c r="A10" t="s" s="34">
        <v>106</v>
      </c>
      <c r="B10" s="12"/>
      <c r="C10" s="51">
        <f>C7*'Assumptions'!$B$9*10</f>
        <v>6270.432</v>
      </c>
      <c r="D10" s="51">
        <f>D7*'Assumptions'!$B$9*10</f>
        <v>6552.60144</v>
      </c>
      <c r="E10" s="51">
        <f>E7*'Assumptions'!$B$9*10</f>
        <v>6814.7054976</v>
      </c>
      <c r="F10" s="51">
        <f>F7*'Assumptions'!$B$9*10</f>
        <v>7087.293717504</v>
      </c>
      <c r="G10" s="52">
        <f>G7*'Assumptions'!$B$9*10</f>
        <v>7335.348997616640</v>
      </c>
    </row>
    <row r="11" ht="13.65" customHeight="1">
      <c r="A11" t="s" s="34">
        <v>107</v>
      </c>
      <c r="B11" s="12"/>
      <c r="C11" s="51">
        <f>-C10*'Assumptions'!$B$15/(1+'Assumptions'!$B$15)</f>
        <v>-437.472</v>
      </c>
      <c r="D11" s="51">
        <f>-D10*'Assumptions'!$B$15/(1+'Assumptions'!$B$15)</f>
        <v>-457.15824</v>
      </c>
      <c r="E11" s="51">
        <f>-E10*'Assumptions'!$B$15/(1+'Assumptions'!$B$15)</f>
        <v>-475.4445696</v>
      </c>
      <c r="F11" s="51">
        <f>-F10*'Assumptions'!$B$15/(1+'Assumptions'!$B$15)</f>
        <v>-494.462352384</v>
      </c>
      <c r="G11" s="52">
        <f>-G10*'Assumptions'!$B$15/(1+'Assumptions'!$B$15)</f>
        <v>-511.768534717440</v>
      </c>
    </row>
    <row r="12" ht="13.65" customHeight="1">
      <c r="A12" t="s" s="34">
        <v>108</v>
      </c>
      <c r="B12" s="12"/>
      <c r="C12" s="51">
        <f>C10+C11</f>
        <v>5832.96</v>
      </c>
      <c r="D12" s="51">
        <f>D10+D11</f>
        <v>6095.4432</v>
      </c>
      <c r="E12" s="51">
        <f>E10+E11</f>
        <v>6339.260928</v>
      </c>
      <c r="F12" s="51">
        <f>F10+F11</f>
        <v>6592.83136512</v>
      </c>
      <c r="G12" s="52">
        <f>G10+G11</f>
        <v>6823.5804628992</v>
      </c>
    </row>
    <row r="13" ht="13.65" customHeight="1">
      <c r="A13" t="s" s="34">
        <v>109</v>
      </c>
      <c r="B13" s="12"/>
      <c r="C13" s="51">
        <f>'Assumptions'!$B$10</f>
        <v>260</v>
      </c>
      <c r="D13" s="51">
        <f>C13*(1+'Assumptions'!C38)</f>
        <v>271.7</v>
      </c>
      <c r="E13" s="51">
        <f>D13*(1+'Assumptions'!D38)</f>
        <v>282.568</v>
      </c>
      <c r="F13" s="51">
        <f>E13*(1+'Assumptions'!E38)</f>
        <v>293.87072</v>
      </c>
      <c r="G13" s="52">
        <f>F13*(1+'Assumptions'!F38)</f>
        <v>304.1561952</v>
      </c>
    </row>
    <row r="14" ht="13.65" customHeight="1">
      <c r="A14" t="s" s="54">
        <v>110</v>
      </c>
      <c r="B14" s="12"/>
      <c r="C14" s="55">
        <f>C13*1000/142.63</f>
        <v>1822.898408469470</v>
      </c>
      <c r="D14" s="55">
        <f>D13*1000/142.63</f>
        <v>1904.928836850590</v>
      </c>
      <c r="E14" s="55">
        <f>E13*1000/142.63</f>
        <v>1981.125990324620</v>
      </c>
      <c r="F14" s="55">
        <f>F13*1000/142.63</f>
        <v>2060.3710299376</v>
      </c>
      <c r="G14" s="56">
        <f>G13*1000/142.63</f>
        <v>2132.484015985420</v>
      </c>
    </row>
    <row r="15" ht="13.65" customHeight="1">
      <c r="A15" t="s" s="57">
        <v>111</v>
      </c>
      <c r="B15" s="12"/>
      <c r="C15" s="58">
        <f>C12+C14</f>
        <v>7655.858408469470</v>
      </c>
      <c r="D15" s="58">
        <f>D12+D14</f>
        <v>8000.372036850590</v>
      </c>
      <c r="E15" s="58">
        <f>E12+E14</f>
        <v>8320.386918324621</v>
      </c>
      <c r="F15" s="58">
        <f>F12+F14</f>
        <v>8653.2023950576</v>
      </c>
      <c r="G15" s="59">
        <f>G12+G14</f>
        <v>8956.064478884620</v>
      </c>
    </row>
    <row r="16" ht="13.65" customHeight="1">
      <c r="A16" t="s" s="54">
        <v>112</v>
      </c>
      <c r="B16" s="12"/>
      <c r="C16" s="55">
        <f>C15*'Assumptions'!$B$11</f>
        <v>689.027256762252</v>
      </c>
      <c r="D16" s="55">
        <f>D15*'Assumptions'!$B$11</f>
        <v>720.033483316553</v>
      </c>
      <c r="E16" s="55">
        <f>E15*'Assumptions'!$B$11</f>
        <v>748.834822649216</v>
      </c>
      <c r="F16" s="55">
        <f>F15*'Assumptions'!$B$11</f>
        <v>778.788215555184</v>
      </c>
      <c r="G16" s="56">
        <f>G15*'Assumptions'!$B$11</f>
        <v>806.045803099616</v>
      </c>
    </row>
    <row r="17" ht="13.65" customHeight="1">
      <c r="A17" t="s" s="60">
        <v>113</v>
      </c>
      <c r="B17" s="61">
        <f>'Assumptions'!B5</f>
        <v>7950</v>
      </c>
      <c r="C17" s="62">
        <f>C15+C16</f>
        <v>8344.885665231721</v>
      </c>
      <c r="D17" s="62">
        <f>D15+D16</f>
        <v>8720.405520167140</v>
      </c>
      <c r="E17" s="62">
        <f>E15+E16</f>
        <v>9069.221740973840</v>
      </c>
      <c r="F17" s="62">
        <f>F15+F16</f>
        <v>9431.990610612780</v>
      </c>
      <c r="G17" s="63">
        <f>G15+G16</f>
        <v>9762.110281984240</v>
      </c>
    </row>
    <row r="18" ht="13.55" customHeight="1">
      <c r="A18" s="10"/>
      <c r="B18" s="12"/>
      <c r="C18" s="12"/>
      <c r="D18" s="12"/>
      <c r="E18" s="12"/>
      <c r="F18" s="12"/>
      <c r="G18" s="13"/>
    </row>
    <row r="19" ht="13.65" customHeight="1">
      <c r="A19" t="s" s="53">
        <v>114</v>
      </c>
      <c r="B19" s="12"/>
      <c r="C19" s="12"/>
      <c r="D19" s="12"/>
      <c r="E19" s="12"/>
      <c r="F19" s="12"/>
      <c r="G19" s="13"/>
    </row>
    <row r="20" ht="13.65" customHeight="1">
      <c r="A20" t="s" s="34">
        <v>115</v>
      </c>
      <c r="B20" s="12"/>
      <c r="C20" s="64">
        <f>C6*1000/'Assumptions'!$B$23</f>
        <v>756.097560975610</v>
      </c>
      <c r="D20" s="64">
        <f>D6*1000/'Assumptions'!$B$23</f>
        <v>790.121951219512</v>
      </c>
      <c r="E20" s="64">
        <f>E6*1000/'Assumptions'!$B$23</f>
        <v>821.726829268293</v>
      </c>
      <c r="F20" s="64">
        <f>F6*1000/'Assumptions'!$B$23</f>
        <v>854.595902439024</v>
      </c>
      <c r="G20" s="65">
        <f>G6*1000/'Assumptions'!$B$23</f>
        <v>884.506759024390</v>
      </c>
    </row>
    <row r="21" ht="13.65" customHeight="1">
      <c r="A21" t="s" s="34">
        <v>116</v>
      </c>
      <c r="B21" s="12"/>
      <c r="C21" s="66">
        <f>'Assumptions'!$B$19*'Assumptions'!$B$20+(1-'Assumptions'!$B$19)*'Assumptions'!$B$14</f>
        <v>2.0427</v>
      </c>
      <c r="D21" s="66">
        <f>'Assumptions'!$B$19*'Assumptions'!$B$20+(1-'Assumptions'!$B$19)*'Assumptions'!$B$14</f>
        <v>2.0427</v>
      </c>
      <c r="E21" s="66">
        <f>'Assumptions'!$B$19*'Assumptions'!$B$20+(1-'Assumptions'!$B$19)*'Assumptions'!$B$14</f>
        <v>2.0427</v>
      </c>
      <c r="F21" s="66">
        <f>'Assumptions'!$B$19*'Assumptions'!$B$20+(1-'Assumptions'!$B$19)*'Assumptions'!$B$14</f>
        <v>2.0427</v>
      </c>
      <c r="G21" s="67">
        <f>'Assumptions'!$B$19*'Assumptions'!$B$20+(1-'Assumptions'!$B$19)*'Assumptions'!$B$14</f>
        <v>2.0427</v>
      </c>
    </row>
    <row r="22" ht="13.65" customHeight="1">
      <c r="A22" t="s" s="34">
        <v>117</v>
      </c>
      <c r="B22" s="12"/>
      <c r="C22" s="51">
        <f>C20*C21</f>
        <v>1544.480487804880</v>
      </c>
      <c r="D22" s="51">
        <f>D20*D21</f>
        <v>1613.9821097561</v>
      </c>
      <c r="E22" s="51">
        <f>E20*E21</f>
        <v>1678.541394146340</v>
      </c>
      <c r="F22" s="51">
        <f>F20*F21</f>
        <v>1745.683049912190</v>
      </c>
      <c r="G22" s="52">
        <f>G20*G21</f>
        <v>1806.781956659120</v>
      </c>
    </row>
    <row r="23" ht="13.65" customHeight="1">
      <c r="A23" t="s" s="34">
        <v>118</v>
      </c>
      <c r="B23" s="12"/>
      <c r="C23" s="51">
        <f>C6*'Assumptions'!$B$24*10</f>
        <v>2542</v>
      </c>
      <c r="D23" s="51">
        <f>D6*'Assumptions'!$B$24*10</f>
        <v>2656.39</v>
      </c>
      <c r="E23" s="51">
        <f>E6*'Assumptions'!$B$24*10</f>
        <v>2762.6456</v>
      </c>
      <c r="F23" s="51">
        <f>F6*'Assumptions'!$B$24*10</f>
        <v>2873.151424</v>
      </c>
      <c r="G23" s="52">
        <f>G6*'Assumptions'!$B$24*10</f>
        <v>2973.71172384</v>
      </c>
    </row>
    <row r="24" ht="13.65" customHeight="1">
      <c r="A24" t="s" s="54">
        <v>119</v>
      </c>
      <c r="B24" s="12"/>
      <c r="C24" s="55">
        <f>C6*'Assumptions'!$B$25*10</f>
        <v>3100</v>
      </c>
      <c r="D24" s="55">
        <f>D6*'Assumptions'!$B$25*10</f>
        <v>3239.5</v>
      </c>
      <c r="E24" s="55">
        <f>E6*'Assumptions'!$B$25*10</f>
        <v>3369.08</v>
      </c>
      <c r="F24" s="55">
        <f>F6*'Assumptions'!$B$25*10</f>
        <v>3503.8432</v>
      </c>
      <c r="G24" s="56">
        <f>G6*'Assumptions'!$B$25*10</f>
        <v>3626.477712</v>
      </c>
    </row>
    <row r="25" ht="13.65" customHeight="1">
      <c r="A25" t="s" s="68">
        <v>120</v>
      </c>
      <c r="B25" s="12"/>
      <c r="C25" s="69">
        <f>C22+C23+C24</f>
        <v>7186.480487804880</v>
      </c>
      <c r="D25" s="69">
        <f>D22+D23+D24</f>
        <v>7509.8721097561</v>
      </c>
      <c r="E25" s="69">
        <f>E22+E23+E24</f>
        <v>7810.266994146340</v>
      </c>
      <c r="F25" s="69">
        <f>F22+F23+F24</f>
        <v>8122.677673912190</v>
      </c>
      <c r="G25" s="70">
        <f>G22+G23+G24</f>
        <v>8406.971392499119</v>
      </c>
    </row>
    <row r="26" ht="13.65" customHeight="1">
      <c r="A26" t="s" s="60">
        <v>121</v>
      </c>
      <c r="B26" s="12"/>
      <c r="C26" s="71">
        <f>C17-C25</f>
        <v>1158.405177426840</v>
      </c>
      <c r="D26" s="71">
        <f>D17-D25</f>
        <v>1210.533410411040</v>
      </c>
      <c r="E26" s="71">
        <f>E17-E25</f>
        <v>1258.9547468275</v>
      </c>
      <c r="F26" s="71">
        <f>F17-F25</f>
        <v>1309.312936700590</v>
      </c>
      <c r="G26" s="72">
        <f>G17-G25</f>
        <v>1355.138889485120</v>
      </c>
    </row>
    <row r="27" ht="13.65" customHeight="1">
      <c r="A27" t="s" s="34">
        <v>122</v>
      </c>
      <c r="B27" s="12"/>
      <c r="C27" s="73">
        <f>C26/C17</f>
        <v>0.138816183216654</v>
      </c>
      <c r="D27" s="73">
        <f>D26/D17</f>
        <v>0.138816183216654</v>
      </c>
      <c r="E27" s="73">
        <f>E26/E17</f>
        <v>0.138816183216656</v>
      </c>
      <c r="F27" s="73">
        <f>F26/F17</f>
        <v>0.138816183216655</v>
      </c>
      <c r="G27" s="74">
        <f>G26/G17</f>
        <v>0.138816183216655</v>
      </c>
    </row>
    <row r="28" ht="13.65" customHeight="1">
      <c r="A28" t="s" s="54">
        <v>123</v>
      </c>
      <c r="B28" s="12"/>
      <c r="C28" s="55">
        <f>C17*'Assumptions'!$B$26</f>
        <v>458.968711587745</v>
      </c>
      <c r="D28" s="55">
        <f>D17*'Assumptions'!$B$26</f>
        <v>479.622303609193</v>
      </c>
      <c r="E28" s="55">
        <f>E17*'Assumptions'!$B$26</f>
        <v>498.807195753561</v>
      </c>
      <c r="F28" s="55">
        <f>F17*'Assumptions'!$B$26</f>
        <v>518.7594835837029</v>
      </c>
      <c r="G28" s="56">
        <f>G17*'Assumptions'!$B$26</f>
        <v>536.916065509133</v>
      </c>
    </row>
    <row r="29" ht="13.65" customHeight="1">
      <c r="A29" t="s" s="60">
        <v>124</v>
      </c>
      <c r="B29" s="12"/>
      <c r="C29" s="62">
        <f>C26-C28</f>
        <v>699.436465839095</v>
      </c>
      <c r="D29" s="62">
        <f>D26-D28</f>
        <v>730.911106801847</v>
      </c>
      <c r="E29" s="62">
        <f>E26-E28</f>
        <v>760.147551073939</v>
      </c>
      <c r="F29" s="62">
        <f>F26-F28</f>
        <v>790.553453116887</v>
      </c>
      <c r="G29" s="63">
        <f>G26-G28</f>
        <v>818.222823975987</v>
      </c>
    </row>
    <row r="30" ht="13.55" customHeight="1">
      <c r="A30" s="10"/>
      <c r="B30" s="12"/>
      <c r="C30" s="12"/>
      <c r="D30" s="12"/>
      <c r="E30" s="12"/>
      <c r="F30" s="12"/>
      <c r="G30" s="13"/>
    </row>
    <row r="31" ht="13.65" customHeight="1">
      <c r="A31" t="s" s="53">
        <v>83</v>
      </c>
      <c r="B31" s="12"/>
      <c r="C31" s="12"/>
      <c r="D31" s="12"/>
      <c r="E31" s="12"/>
      <c r="F31" s="12"/>
      <c r="G31" s="13"/>
    </row>
    <row r="32" ht="13.65" customHeight="1">
      <c r="A32" t="s" s="34">
        <v>125</v>
      </c>
      <c r="B32" s="12"/>
      <c r="C32" s="51">
        <f>'Assumptions'!$B$31</f>
        <v>4450</v>
      </c>
      <c r="D32" s="51">
        <f>C33</f>
        <v>4183</v>
      </c>
      <c r="E32" s="51">
        <f>D33</f>
        <v>3916</v>
      </c>
      <c r="F32" s="51">
        <f>E33</f>
        <v>3649</v>
      </c>
      <c r="G32" s="52">
        <f>F33</f>
        <v>3382</v>
      </c>
    </row>
    <row r="33" ht="13.65" customHeight="1">
      <c r="A33" t="s" s="34">
        <v>126</v>
      </c>
      <c r="B33" s="12"/>
      <c r="C33" s="51">
        <f>MAX(C32-'Assumptions'!$B$31*'Assumptions'!$B$32,0)</f>
        <v>4183</v>
      </c>
      <c r="D33" s="51">
        <f>MAX(D32-'Assumptions'!$B$31*'Assumptions'!$B$32,0)</f>
        <v>3916</v>
      </c>
      <c r="E33" s="51">
        <f>MAX(E32-'Assumptions'!$B$31*'Assumptions'!$B$32,0)</f>
        <v>3649</v>
      </c>
      <c r="F33" s="51">
        <f>MAX(F32-'Assumptions'!$B$31*'Assumptions'!$B$32,0)</f>
        <v>3382</v>
      </c>
      <c r="G33" s="52">
        <f>MAX(G32-'Assumptions'!$B$31*'Assumptions'!$B$32,0)</f>
        <v>3115</v>
      </c>
    </row>
    <row r="34" ht="13.65" customHeight="1">
      <c r="A34" t="s" s="34">
        <v>127</v>
      </c>
      <c r="B34" s="12"/>
      <c r="C34" s="75">
        <f>'Assumptions'!$B$33+'Assumptions'!$B$34</f>
        <v>0.06510000000000001</v>
      </c>
      <c r="D34" s="75">
        <f>'Assumptions'!$B$33+'Assumptions'!$B$34</f>
        <v>0.06510000000000001</v>
      </c>
      <c r="E34" s="75">
        <f>'Assumptions'!$B$33+'Assumptions'!$B$34</f>
        <v>0.06510000000000001</v>
      </c>
      <c r="F34" s="75">
        <f>'Assumptions'!$B$33+'Assumptions'!$B$34</f>
        <v>0.06510000000000001</v>
      </c>
      <c r="G34" s="76">
        <f>'Assumptions'!$B$33+'Assumptions'!$B$34</f>
        <v>0.06510000000000001</v>
      </c>
    </row>
    <row r="35" ht="13.65" customHeight="1">
      <c r="A35" t="s" s="54">
        <v>128</v>
      </c>
      <c r="B35" s="12"/>
      <c r="C35" s="55">
        <f>AVERAGE(C32,C33)*C34</f>
        <v>281.00415</v>
      </c>
      <c r="D35" s="55">
        <f>AVERAGE(D32,D33)*D34</f>
        <v>263.62245</v>
      </c>
      <c r="E35" s="55">
        <f>AVERAGE(E32,E33)*E34</f>
        <v>246.24075</v>
      </c>
      <c r="F35" s="55">
        <f>AVERAGE(F32,F33)*F34</f>
        <v>228.85905</v>
      </c>
      <c r="G35" s="56">
        <f>AVERAGE(G32,G33)*G34</f>
        <v>211.47735</v>
      </c>
    </row>
    <row r="36" ht="13.65" customHeight="1">
      <c r="A36" t="s" s="57">
        <v>129</v>
      </c>
      <c r="B36" s="12"/>
      <c r="C36" s="58">
        <f>C29-C35</f>
        <v>418.432315839095</v>
      </c>
      <c r="D36" s="58">
        <f>D29-D35</f>
        <v>467.288656801847</v>
      </c>
      <c r="E36" s="58">
        <f>E29-E35</f>
        <v>513.9068010739391</v>
      </c>
      <c r="F36" s="58">
        <f>F29-F35</f>
        <v>561.694403116887</v>
      </c>
      <c r="G36" s="59">
        <f>G29-G35</f>
        <v>606.745473975987</v>
      </c>
    </row>
    <row r="37" ht="13.65" customHeight="1">
      <c r="A37" t="s" s="54">
        <v>130</v>
      </c>
      <c r="B37" s="12"/>
      <c r="C37" s="55">
        <f>MAX(C36,0)*'Assumptions'!$B$16</f>
        <v>87.87078632620999</v>
      </c>
      <c r="D37" s="55">
        <f>MAX(D36,0)*'Assumptions'!$B$16</f>
        <v>98.13061792838791</v>
      </c>
      <c r="E37" s="55">
        <f>MAX(E36,0)*'Assumptions'!$B$16</f>
        <v>107.920428225527</v>
      </c>
      <c r="F37" s="55">
        <f>MAX(F36,0)*'Assumptions'!$B$16</f>
        <v>117.955824654546</v>
      </c>
      <c r="G37" s="56">
        <f>MAX(G36,0)*'Assumptions'!$B$16</f>
        <v>127.416549534957</v>
      </c>
    </row>
    <row r="38" ht="13.65" customHeight="1">
      <c r="A38" t="s" s="77">
        <v>131</v>
      </c>
      <c r="B38" s="25"/>
      <c r="C38" s="78">
        <f>C36-C37</f>
        <v>330.561529512885</v>
      </c>
      <c r="D38" s="78">
        <f>D36-D37</f>
        <v>369.158038873459</v>
      </c>
      <c r="E38" s="78">
        <f>E36-E37</f>
        <v>405.986372848412</v>
      </c>
      <c r="F38" s="78">
        <f>F36-F37</f>
        <v>443.738578462341</v>
      </c>
      <c r="G38" s="79">
        <f>G36-G37</f>
        <v>479.328924441030</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H43"/>
  <sheetViews>
    <sheetView workbookViewId="0" showGridLines="0" defaultGridColor="1"/>
  </sheetViews>
  <sheetFormatPr defaultColWidth="8.83333" defaultRowHeight="15" customHeight="1" outlineLevelRow="0" outlineLevelCol="0"/>
  <cols>
    <col min="1" max="1" width="46" style="80" customWidth="1"/>
    <col min="2" max="7" width="12" style="80" customWidth="1"/>
    <col min="8" max="8" width="62" style="80" customWidth="1"/>
    <col min="9" max="16384" width="8.85156" style="80" customWidth="1"/>
  </cols>
  <sheetData>
    <row r="1" ht="18.5" customHeight="1">
      <c r="A1" t="s" s="28">
        <v>132</v>
      </c>
      <c r="B1" s="8"/>
      <c r="C1" s="8"/>
      <c r="D1" s="8"/>
      <c r="E1" s="8"/>
      <c r="F1" s="8"/>
      <c r="G1" s="8"/>
      <c r="H1" s="9"/>
    </row>
    <row r="2" ht="13.65" customHeight="1">
      <c r="A2" t="s" s="29">
        <v>133</v>
      </c>
      <c r="B2" s="12"/>
      <c r="C2" s="12"/>
      <c r="D2" s="12"/>
      <c r="E2" s="12"/>
      <c r="F2" s="12"/>
      <c r="G2" s="12"/>
      <c r="H2" s="13"/>
    </row>
    <row r="3" ht="13.55" customHeight="1">
      <c r="A3" s="10"/>
      <c r="B3" s="12"/>
      <c r="C3" s="12"/>
      <c r="D3" s="12"/>
      <c r="E3" s="12"/>
      <c r="F3" s="12"/>
      <c r="G3" s="12"/>
      <c r="H3" s="13"/>
    </row>
    <row r="4" ht="13.65" customHeight="1">
      <c r="A4" t="s" s="30">
        <v>134</v>
      </c>
      <c r="B4" s="32"/>
      <c r="C4" s="32"/>
      <c r="D4" s="32"/>
      <c r="E4" s="32"/>
      <c r="F4" s="32"/>
      <c r="G4" s="32"/>
      <c r="H4" t="s" s="33">
        <v>39</v>
      </c>
    </row>
    <row r="5" ht="13.65" customHeight="1">
      <c r="A5" t="s" s="34">
        <v>135</v>
      </c>
      <c r="B5" s="81">
        <f>DATE(2025,5,1)</f>
        <v>45778</v>
      </c>
      <c r="C5" s="12"/>
      <c r="D5" s="12"/>
      <c r="E5" s="12"/>
      <c r="F5" s="12"/>
      <c r="G5" s="12"/>
      <c r="H5" t="s" s="36">
        <v>8</v>
      </c>
    </row>
    <row r="6" ht="13.65" customHeight="1">
      <c r="A6" t="s" s="34">
        <v>136</v>
      </c>
      <c r="B6" s="41">
        <v>0.0417</v>
      </c>
      <c r="C6" s="12"/>
      <c r="D6" s="12"/>
      <c r="E6" s="12"/>
      <c r="F6" s="12"/>
      <c r="G6" s="12"/>
      <c r="H6" t="s" s="36">
        <v>137</v>
      </c>
    </row>
    <row r="7" ht="13.65" customHeight="1">
      <c r="A7" t="s" s="34">
        <v>138</v>
      </c>
      <c r="B7" s="41">
        <v>0.05</v>
      </c>
      <c r="C7" s="12"/>
      <c r="D7" s="12"/>
      <c r="E7" s="12"/>
      <c r="F7" s="12"/>
      <c r="G7" s="12"/>
      <c r="H7" t="s" s="36">
        <v>139</v>
      </c>
    </row>
    <row r="8" ht="13.65" customHeight="1">
      <c r="A8" t="s" s="34">
        <v>140</v>
      </c>
      <c r="B8" s="82">
        <v>1.4</v>
      </c>
      <c r="C8" s="12"/>
      <c r="D8" s="12"/>
      <c r="E8" s="12"/>
      <c r="F8" s="12"/>
      <c r="G8" s="12"/>
      <c r="H8" t="s" s="36">
        <v>141</v>
      </c>
    </row>
    <row r="9" ht="13.65" customHeight="1">
      <c r="A9" t="s" s="34">
        <v>142</v>
      </c>
      <c r="B9" s="41">
        <v>0</v>
      </c>
      <c r="C9" s="12"/>
      <c r="D9" s="12"/>
      <c r="E9" s="12"/>
      <c r="F9" s="12"/>
      <c r="G9" s="12"/>
      <c r="H9" t="s" s="36">
        <v>139</v>
      </c>
    </row>
    <row r="10" ht="13.65" customHeight="1">
      <c r="A10" t="s" s="34">
        <v>143</v>
      </c>
      <c r="B10" s="75">
        <f>B6+B8*B7+B9</f>
        <v>0.1117</v>
      </c>
      <c r="C10" s="12"/>
      <c r="D10" s="12"/>
      <c r="E10" s="12"/>
      <c r="F10" s="12"/>
      <c r="G10" s="12"/>
      <c r="H10" t="s" s="36">
        <v>144</v>
      </c>
    </row>
    <row r="11" ht="13.65" customHeight="1">
      <c r="A11" t="s" s="34">
        <v>145</v>
      </c>
      <c r="B11" s="83">
        <f>'P&amp;L'!C34</f>
        <v>0.06510000000000001</v>
      </c>
      <c r="C11" s="12"/>
      <c r="D11" s="12"/>
      <c r="E11" s="12"/>
      <c r="F11" s="12"/>
      <c r="G11" s="12"/>
      <c r="H11" t="s" s="36">
        <v>146</v>
      </c>
    </row>
    <row r="12" ht="13.65" customHeight="1">
      <c r="A12" t="s" s="34">
        <v>147</v>
      </c>
      <c r="B12" s="49">
        <f>'Assumptions'!B16</f>
        <v>0.21</v>
      </c>
      <c r="C12" s="12"/>
      <c r="D12" s="12"/>
      <c r="E12" s="12"/>
      <c r="F12" s="12"/>
      <c r="G12" s="12"/>
      <c r="H12" s="84"/>
    </row>
    <row r="13" ht="13.65" customHeight="1">
      <c r="A13" t="s" s="34">
        <v>148</v>
      </c>
      <c r="B13" s="75">
        <f>B11*(1-B12)</f>
        <v>0.051429</v>
      </c>
      <c r="C13" s="12"/>
      <c r="D13" s="12"/>
      <c r="E13" s="12"/>
      <c r="F13" s="12"/>
      <c r="G13" s="12"/>
      <c r="H13" s="84"/>
    </row>
    <row r="14" ht="13.65" customHeight="1">
      <c r="A14" t="s" s="34">
        <v>149</v>
      </c>
      <c r="B14" s="37">
        <v>0.4</v>
      </c>
      <c r="C14" s="12"/>
      <c r="D14" s="12"/>
      <c r="E14" s="12"/>
      <c r="F14" s="12"/>
      <c r="G14" s="12"/>
      <c r="H14" t="s" s="36">
        <v>150</v>
      </c>
    </row>
    <row r="15" ht="13.65" customHeight="1">
      <c r="A15" t="s" s="53">
        <v>151</v>
      </c>
      <c r="B15" s="85">
        <f>B10*(1-B14)+B13*B14</f>
        <v>0.08759160000000001</v>
      </c>
      <c r="C15" s="12"/>
      <c r="D15" s="12"/>
      <c r="E15" s="12"/>
      <c r="F15" s="12"/>
      <c r="G15" s="12"/>
      <c r="H15" s="84"/>
    </row>
    <row r="16" ht="13.65" customHeight="1">
      <c r="A16" t="s" s="34">
        <v>152</v>
      </c>
      <c r="B16" s="37">
        <v>0.02</v>
      </c>
      <c r="C16" s="12"/>
      <c r="D16" s="12"/>
      <c r="E16" s="12"/>
      <c r="F16" s="12"/>
      <c r="G16" s="12"/>
      <c r="H16" t="s" s="36">
        <v>153</v>
      </c>
    </row>
    <row r="17" ht="13.55" customHeight="1">
      <c r="A17" s="10"/>
      <c r="B17" s="12"/>
      <c r="C17" s="12"/>
      <c r="D17" s="12"/>
      <c r="E17" s="12"/>
      <c r="F17" s="12"/>
      <c r="G17" s="12"/>
      <c r="H17" s="13"/>
    </row>
    <row r="18" ht="13.65" customHeight="1">
      <c r="A18" t="s" s="30">
        <v>154</v>
      </c>
      <c r="B18" s="32"/>
      <c r="C18" t="s" s="42">
        <v>95</v>
      </c>
      <c r="D18" t="s" s="42">
        <v>96</v>
      </c>
      <c r="E18" t="s" s="42">
        <v>97</v>
      </c>
      <c r="F18" t="s" s="42">
        <v>98</v>
      </c>
      <c r="G18" t="s" s="42">
        <v>99</v>
      </c>
      <c r="H18" s="39"/>
    </row>
    <row r="19" ht="13.65" customHeight="1">
      <c r="A19" t="s" s="34">
        <v>155</v>
      </c>
      <c r="B19" s="12"/>
      <c r="C19" s="81">
        <f>DATE(2025,12,31)</f>
        <v>46022</v>
      </c>
      <c r="D19" s="81">
        <f>DATE(YEAR(C19)+1,12,31)</f>
        <v>46387</v>
      </c>
      <c r="E19" s="81">
        <f>DATE(YEAR(D19)+1,12,31)</f>
        <v>46752</v>
      </c>
      <c r="F19" s="81">
        <f>DATE(YEAR(E19)+1,12,31)</f>
        <v>47118</v>
      </c>
      <c r="G19" s="81">
        <f>DATE(YEAR(F19)+1,12,31)</f>
        <v>47483</v>
      </c>
      <c r="H19" s="13"/>
    </row>
    <row r="20" ht="13.65" customHeight="1">
      <c r="A20" t="s" s="34">
        <v>121</v>
      </c>
      <c r="B20" s="12"/>
      <c r="C20" s="86">
        <f>'P&amp;L'!C26</f>
        <v>1158.405177426840</v>
      </c>
      <c r="D20" s="86">
        <f>'P&amp;L'!D26</f>
        <v>1210.533410411040</v>
      </c>
      <c r="E20" s="86">
        <f>'P&amp;L'!E26</f>
        <v>1258.9547468275</v>
      </c>
      <c r="F20" s="86">
        <f>'P&amp;L'!F26</f>
        <v>1309.312936700590</v>
      </c>
      <c r="G20" s="86">
        <f>'P&amp;L'!G26</f>
        <v>1355.138889485120</v>
      </c>
      <c r="H20" s="13"/>
    </row>
    <row r="21" ht="13.65" customHeight="1">
      <c r="A21" t="s" s="54">
        <v>156</v>
      </c>
      <c r="B21" s="12"/>
      <c r="C21" s="87">
        <f>-'P&amp;L'!C28</f>
        <v>-458.968711587745</v>
      </c>
      <c r="D21" s="87">
        <f>-'P&amp;L'!D28</f>
        <v>-479.622303609193</v>
      </c>
      <c r="E21" s="87">
        <f>-'P&amp;L'!E28</f>
        <v>-498.807195753561</v>
      </c>
      <c r="F21" s="87">
        <f>-'P&amp;L'!F28</f>
        <v>-518.7594835837029</v>
      </c>
      <c r="G21" s="87">
        <f>-'P&amp;L'!G28</f>
        <v>-536.916065509133</v>
      </c>
      <c r="H21" s="13"/>
    </row>
    <row r="22" ht="13.65" customHeight="1">
      <c r="A22" t="s" s="57">
        <v>124</v>
      </c>
      <c r="B22" s="12"/>
      <c r="C22" s="58">
        <f>C20+C21</f>
        <v>699.436465839095</v>
      </c>
      <c r="D22" s="58">
        <f>D20+D21</f>
        <v>730.911106801847</v>
      </c>
      <c r="E22" s="58">
        <f>E20+E21</f>
        <v>760.147551073939</v>
      </c>
      <c r="F22" s="58">
        <f>F20+F21</f>
        <v>790.553453116887</v>
      </c>
      <c r="G22" s="58">
        <f>G20+G21</f>
        <v>818.222823975987</v>
      </c>
      <c r="H22" s="13"/>
    </row>
    <row r="23" ht="13.65" customHeight="1">
      <c r="A23" t="s" s="34">
        <v>157</v>
      </c>
      <c r="B23" s="12"/>
      <c r="C23" s="51">
        <f>-MAX(C22,0)*$B$12</f>
        <v>-146.881657826210</v>
      </c>
      <c r="D23" s="51">
        <f>-MAX(D22,0)*$B$12</f>
        <v>-153.491332428388</v>
      </c>
      <c r="E23" s="51">
        <f>-MAX(E22,0)*$B$12</f>
        <v>-159.630985725527</v>
      </c>
      <c r="F23" s="51">
        <f>-MAX(F22,0)*$B$12</f>
        <v>-166.016225154546</v>
      </c>
      <c r="G23" s="51">
        <f>-MAX(G22,0)*$B$12</f>
        <v>-171.826793034957</v>
      </c>
      <c r="H23" s="13"/>
    </row>
    <row r="24" ht="13.65" customHeight="1">
      <c r="A24" t="s" s="34">
        <v>158</v>
      </c>
      <c r="B24" s="12"/>
      <c r="C24" s="51">
        <f>-C21</f>
        <v>458.968711587745</v>
      </c>
      <c r="D24" s="51">
        <f>-D21</f>
        <v>479.622303609193</v>
      </c>
      <c r="E24" s="51">
        <f>-E21</f>
        <v>498.807195753561</v>
      </c>
      <c r="F24" s="51">
        <f>-F21</f>
        <v>518.7594835837029</v>
      </c>
      <c r="G24" s="51">
        <f>-G21</f>
        <v>536.916065509133</v>
      </c>
      <c r="H24" s="13"/>
    </row>
    <row r="25" ht="13.65" customHeight="1">
      <c r="A25" t="s" s="34">
        <v>159</v>
      </c>
      <c r="B25" s="12"/>
      <c r="C25" s="51">
        <f>-'P&amp;L'!C17*'Assumptions'!$B$27</f>
        <v>-458.968711587745</v>
      </c>
      <c r="D25" s="51">
        <f>-'P&amp;L'!D17*'Assumptions'!$B$27</f>
        <v>-479.622303609193</v>
      </c>
      <c r="E25" s="51">
        <f>-'P&amp;L'!E17*'Assumptions'!$B$27</f>
        <v>-498.807195753561</v>
      </c>
      <c r="F25" s="51">
        <f>-'P&amp;L'!F17*'Assumptions'!$B$27</f>
        <v>-518.7594835837029</v>
      </c>
      <c r="G25" s="51">
        <f>-'P&amp;L'!G17*'Assumptions'!$B$27</f>
        <v>-536.916065509133</v>
      </c>
      <c r="H25" s="13"/>
    </row>
    <row r="26" ht="13.65" customHeight="1">
      <c r="A26" t="s" s="54">
        <v>160</v>
      </c>
      <c r="B26" s="12"/>
      <c r="C26" s="55">
        <f>-('P&amp;L'!C17-'P&amp;L'!B17)*'Assumptions'!$B$28</f>
        <v>31.5908532185376</v>
      </c>
      <c r="D26" s="55">
        <f>-('P&amp;L'!D17-'P&amp;L'!C17)*'Assumptions'!$B$28</f>
        <v>30.0415883948336</v>
      </c>
      <c r="E26" s="55">
        <f>-('P&amp;L'!E17-'P&amp;L'!D17)*'Assumptions'!$B$28</f>
        <v>27.905297664536</v>
      </c>
      <c r="F26" s="55">
        <f>-('P&amp;L'!F17-'P&amp;L'!E17)*'Assumptions'!$B$28</f>
        <v>29.0215095711152</v>
      </c>
      <c r="G26" s="55">
        <f>-('P&amp;L'!G17-'P&amp;L'!F17)*'Assumptions'!$B$28</f>
        <v>26.4095737097168</v>
      </c>
      <c r="H26" s="13"/>
    </row>
    <row r="27" ht="13.65" customHeight="1">
      <c r="A27" t="s" s="60">
        <v>154</v>
      </c>
      <c r="B27" s="12"/>
      <c r="C27" s="62">
        <f>SUM(C22:C26)</f>
        <v>584.145661231423</v>
      </c>
      <c r="D27" s="62">
        <f>SUM(D22:D26)</f>
        <v>607.461362768293</v>
      </c>
      <c r="E27" s="62">
        <f>SUM(E22:E26)</f>
        <v>628.4218630129481</v>
      </c>
      <c r="F27" s="62">
        <f>SUM(F22:F26)</f>
        <v>653.558737533456</v>
      </c>
      <c r="G27" s="62">
        <f>SUM(G22:G26)</f>
        <v>672.805604650747</v>
      </c>
      <c r="H27" s="13"/>
    </row>
    <row r="28" ht="13.65" customHeight="1">
      <c r="A28" t="s" s="34">
        <v>161</v>
      </c>
      <c r="B28" s="12"/>
      <c r="C28" s="73">
        <f>MIN(1,(C19-$B$5)/365)</f>
        <v>0.668493150684932</v>
      </c>
      <c r="D28" s="73">
        <f>MIN(1,(D19-$B$5)/365)</f>
        <v>1</v>
      </c>
      <c r="E28" s="73">
        <f>MIN(1,(E19-$B$5)/365)</f>
        <v>1</v>
      </c>
      <c r="F28" s="73">
        <f>MIN(1,(F19-$B$5)/365)</f>
        <v>1</v>
      </c>
      <c r="G28" s="73">
        <f>MIN(1,(G19-$B$5)/365)</f>
        <v>1</v>
      </c>
      <c r="H28" s="13"/>
    </row>
    <row r="29" ht="13.65" customHeight="1">
      <c r="A29" t="s" s="34">
        <v>162</v>
      </c>
      <c r="B29" s="12"/>
      <c r="C29" s="51">
        <f>C27*C28</f>
        <v>390.497373535527</v>
      </c>
      <c r="D29" s="51">
        <f>D27*D28</f>
        <v>607.461362768293</v>
      </c>
      <c r="E29" s="51">
        <f>E27*E28</f>
        <v>628.4218630129481</v>
      </c>
      <c r="F29" s="51">
        <f>F27*F28</f>
        <v>653.558737533456</v>
      </c>
      <c r="G29" s="51">
        <f>G27*G28</f>
        <v>672.805604650747</v>
      </c>
      <c r="H29" s="13"/>
    </row>
    <row r="30" ht="13.65" customHeight="1">
      <c r="A30" t="s" s="34">
        <v>163</v>
      </c>
      <c r="B30" s="12"/>
      <c r="C30" s="88">
        <f>(C19-$B$5)/365</f>
        <v>0.668493150684932</v>
      </c>
      <c r="D30" s="88">
        <f>(D19-$B$5)/365</f>
        <v>1.66849315068493</v>
      </c>
      <c r="E30" s="88">
        <f>(E19-$B$5)/365</f>
        <v>2.66849315068493</v>
      </c>
      <c r="F30" s="88">
        <f>(F19-$B$5)/365</f>
        <v>3.67123287671233</v>
      </c>
      <c r="G30" s="88">
        <f>(G19-$B$5)/365</f>
        <v>4.67123287671233</v>
      </c>
      <c r="H30" s="13"/>
    </row>
    <row r="31" ht="13.65" customHeight="1">
      <c r="A31" t="s" s="34">
        <v>164</v>
      </c>
      <c r="B31" s="12"/>
      <c r="C31" s="89">
        <f>1/(1+$B$15)^C30</f>
        <v>0.945415748966092</v>
      </c>
      <c r="D31" s="89">
        <f>1/(1+$B$15)^D30</f>
        <v>0.8692745962419099</v>
      </c>
      <c r="E31" s="89">
        <f>1/(1+$B$15)^E30</f>
        <v>0.7992656400085379</v>
      </c>
      <c r="F31" s="89">
        <f>1/(1+$B$15)^F30</f>
        <v>0.7347259721905141</v>
      </c>
      <c r="G31" s="89">
        <f>1/(1+$B$15)^G30</f>
        <v>0.675553187603246</v>
      </c>
      <c r="H31" s="13"/>
    </row>
    <row r="32" ht="13.65" customHeight="1">
      <c r="A32" t="s" s="53">
        <v>165</v>
      </c>
      <c r="B32" s="12"/>
      <c r="C32" s="90">
        <f>C29*C31</f>
        <v>369.182366870382</v>
      </c>
      <c r="D32" s="90">
        <f>D29*D31</f>
        <v>528.0507308529679</v>
      </c>
      <c r="E32" s="90">
        <f>E29*E31</f>
        <v>502.276002536402</v>
      </c>
      <c r="F32" s="90">
        <f>F29*F31</f>
        <v>480.186578817873</v>
      </c>
      <c r="G32" s="90">
        <f>G29*G31</f>
        <v>454.515970859141</v>
      </c>
      <c r="H32" s="13"/>
    </row>
    <row r="33" ht="13.55" customHeight="1">
      <c r="A33" s="10"/>
      <c r="B33" s="12"/>
      <c r="C33" s="12"/>
      <c r="D33" s="12"/>
      <c r="E33" s="12"/>
      <c r="F33" s="12"/>
      <c r="G33" s="12"/>
      <c r="H33" s="13"/>
    </row>
    <row r="34" ht="13.65" customHeight="1">
      <c r="A34" t="s" s="30">
        <v>166</v>
      </c>
      <c r="B34" s="32"/>
      <c r="C34" s="32"/>
      <c r="D34" s="32"/>
      <c r="E34" s="32"/>
      <c r="F34" s="32"/>
      <c r="G34" s="32"/>
      <c r="H34" s="39"/>
    </row>
    <row r="35" ht="13.65" customHeight="1">
      <c r="A35" t="s" s="34">
        <v>167</v>
      </c>
      <c r="B35" s="51">
        <f>SUM(C32:G32)</f>
        <v>2334.211649936770</v>
      </c>
      <c r="C35" s="12"/>
      <c r="D35" s="12"/>
      <c r="E35" s="12"/>
      <c r="F35" s="12"/>
      <c r="G35" s="12"/>
      <c r="H35" s="13"/>
    </row>
    <row r="36" ht="13.65" customHeight="1">
      <c r="A36" t="s" s="34">
        <v>168</v>
      </c>
      <c r="B36" s="51">
        <f>G27*(1+B16)/(B15-B16)</f>
        <v>10153.0621666562</v>
      </c>
      <c r="C36" s="12"/>
      <c r="D36" s="12"/>
      <c r="E36" s="12"/>
      <c r="F36" s="12"/>
      <c r="G36" s="12"/>
      <c r="H36" s="13"/>
    </row>
    <row r="37" ht="13.65" customHeight="1">
      <c r="A37" t="s" s="34">
        <v>169</v>
      </c>
      <c r="B37" s="51">
        <f>B36*G31</f>
        <v>6858.933510618520</v>
      </c>
      <c r="C37" s="12"/>
      <c r="D37" s="12"/>
      <c r="E37" s="12"/>
      <c r="F37" s="12"/>
      <c r="G37" s="12"/>
      <c r="H37" s="13"/>
    </row>
    <row r="38" ht="13.65" customHeight="1">
      <c r="A38" t="s" s="53">
        <v>170</v>
      </c>
      <c r="B38" s="91">
        <f>B35+B37</f>
        <v>9193.145160555290</v>
      </c>
      <c r="C38" s="12"/>
      <c r="D38" s="12"/>
      <c r="E38" s="12"/>
      <c r="F38" s="12"/>
      <c r="G38" s="12"/>
      <c r="H38" s="13"/>
    </row>
    <row r="39" ht="13.65" customHeight="1">
      <c r="A39" t="s" s="34">
        <v>171</v>
      </c>
      <c r="B39" s="86">
        <f>-'Assumptions'!B31</f>
        <v>-4450</v>
      </c>
      <c r="C39" s="12"/>
      <c r="D39" s="12"/>
      <c r="E39" s="12"/>
      <c r="F39" s="12"/>
      <c r="G39" s="12"/>
      <c r="H39" t="s" s="36">
        <v>172</v>
      </c>
    </row>
    <row r="40" ht="13.65" customHeight="1">
      <c r="A40" t="s" s="34">
        <v>173</v>
      </c>
      <c r="B40" s="86">
        <f>'Assumptions'!B35</f>
        <v>3000</v>
      </c>
      <c r="C40" s="12"/>
      <c r="D40" s="12"/>
      <c r="E40" s="12"/>
      <c r="F40" s="12"/>
      <c r="G40" s="12"/>
      <c r="H40" s="13"/>
    </row>
    <row r="41" ht="13.65" customHeight="1">
      <c r="A41" t="s" s="53">
        <v>174</v>
      </c>
      <c r="B41" s="91">
        <f>SUM(B38:B40)</f>
        <v>7743.145160555290</v>
      </c>
      <c r="C41" s="12"/>
      <c r="D41" s="12"/>
      <c r="E41" s="12"/>
      <c r="F41" s="12"/>
      <c r="G41" s="12"/>
      <c r="H41" s="13"/>
    </row>
    <row r="42" ht="13.65" customHeight="1">
      <c r="A42" t="s" s="34">
        <v>175</v>
      </c>
      <c r="B42" s="92">
        <f>B38/'P&amp;L'!C26</f>
        <v>7.9360359740242</v>
      </c>
      <c r="C42" s="12"/>
      <c r="D42" s="12"/>
      <c r="E42" s="12"/>
      <c r="F42" s="12"/>
      <c r="G42" s="12"/>
      <c r="H42" s="13"/>
    </row>
    <row r="43" ht="13.65" customHeight="1">
      <c r="A43" t="s" s="43">
        <v>176</v>
      </c>
      <c r="B43" s="93">
        <f>B37/B38</f>
        <v>0.746092157888239</v>
      </c>
      <c r="C43" s="25"/>
      <c r="D43" s="25"/>
      <c r="E43" s="25"/>
      <c r="F43" s="25"/>
      <c r="G43" s="25"/>
      <c r="H43" s="26"/>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dc:creator>Northstar Airways FP&amp;A</dc:creator>
  <dc:title>Northstar Airways, Inc. - Operating Model &amp; DCF</dc:title>
  <dcterms:created xsi:type="dcterms:W3CDTF">2025-05-01T09:30:00Z</dcterms:created>
  <dcterms:modified xsi:type="dcterms:W3CDTF">2026-10-10T22:51:45Z</dcterms:modified>
</cp:coreProperties>
</file>