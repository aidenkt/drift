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Cover" sheetId="2" r:id="rId6"/>
    <sheet name="Assumptions" sheetId="3" r:id="rId7"/>
    <sheet name="P&amp;L" sheetId="4" r:id="rId8"/>
    <sheet name="DCF" sheetId="5" r:id="rId9"/>
  </sheets>
</workbook>
</file>

<file path=xl/sharedStrings.xml><?xml version="1.0" encoding="utf-8"?>
<sst xmlns="http://schemas.openxmlformats.org/spreadsheetml/2006/main" uniqueCount="188">
  <si>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</si>
  <si>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</si>
  <si>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</si>
  <si>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</si>
  <si>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Cover</t>
  </si>
  <si>
    <t>Table 1</t>
  </si>
  <si>
    <t>Keystone Freight Lines, Inc.</t>
  </si>
  <si>
    <t>Five-year operating model and DCF valuation</t>
  </si>
  <si>
    <t>Model date</t>
  </si>
  <si>
    <t>Market inputs as of</t>
  </si>
  <si>
    <t>Close of 27-Feb-2026</t>
  </si>
  <si>
    <t>Prepared by</t>
  </si>
  <si>
    <t>FP&amp;A / Corporate Development</t>
  </si>
  <si>
    <t>Version</t>
  </si>
  <si>
    <t>v1 - board pre-read, March 2026</t>
  </si>
  <si>
    <t>Currency / units</t>
  </si>
  <si>
    <t>US$ millions unless noted</t>
  </si>
  <si>
    <t>Fiscal year</t>
  </si>
  <si>
    <t>Calendar year (FY2026 = Jan-Dec 2026)</t>
  </si>
  <si>
    <t>Business</t>
  </si>
  <si>
    <t>US truckload carrier running dry-van and cross-border lanes into Canada and Mexico. Canadian freight is billed in CAD; the Mexico terminal and drayage network is paid in MXN.</t>
  </si>
  <si>
    <t>Tabs</t>
  </si>
  <si>
    <t>Assumptions</t>
  </si>
  <si>
    <t>Operating, market, policy and financing inputs</t>
  </si>
  <si>
    <t>P&amp;L</t>
  </si>
  <si>
    <t>Revenue build, operating costs, EBITDA, interest, net income</t>
  </si>
  <si>
    <t>DCF</t>
  </si>
  <si>
    <t>WACC, unlevered free cash flow, NPV / enterprise and equity value</t>
  </si>
  <si>
    <t>Colour legend</t>
  </si>
  <si>
    <t>1,234</t>
  </si>
  <si>
    <t>Hardcoded input</t>
  </si>
  <si>
    <t>Formula</t>
  </si>
  <si>
    <t>Link to another tab</t>
  </si>
  <si>
    <t>Key output</t>
  </si>
  <si>
    <t>Keystone Freight Lines, Inc. - Assumptions</t>
  </si>
  <si>
    <t>Model date 1-Mar-2026. Market inputs at close of 27-Feb-2026. US$ millions unless noted.</t>
  </si>
  <si>
    <t>Volumes and pricing</t>
  </si>
  <si>
    <t>Value</t>
  </si>
  <si>
    <t>Unit</t>
  </si>
  <si>
    <t>Source / note</t>
  </si>
  <si>
    <t>FY2025A operating revenue</t>
  </si>
  <si>
    <t>$mm</t>
  </si>
  <si>
    <t>FY2025 audited financial statements</t>
  </si>
  <si>
    <t>Total miles, FY2026E</t>
  </si>
  <si>
    <t>million</t>
  </si>
  <si>
    <t>2026 network plan</t>
  </si>
  <si>
    <t>Linehaul revenue per mile, ex fuel surcharge</t>
  </si>
  <si>
    <t>$/mile</t>
  </si>
  <si>
    <t>2026 contract rates</t>
  </si>
  <si>
    <t>Fuel surcharge base (peg) price</t>
  </si>
  <si>
    <t>$/gal</t>
  </si>
  <si>
    <t>Customer contract fuel surcharge schedule</t>
  </si>
  <si>
    <t>Fuel surcharge mpg</t>
  </si>
  <si>
    <t>mpg</t>
  </si>
  <si>
    <t>Share of miles covered by fuel surcharge</t>
  </si>
  <si>
    <t>%</t>
  </si>
  <si>
    <t>FY2025A actual</t>
  </si>
  <si>
    <t>Canada cross-border revenue, FY2026E</t>
  </si>
  <si>
    <t>C$mm</t>
  </si>
  <si>
    <t>Billed in CAD</t>
  </si>
  <si>
    <t>Mexico terminal and drayage costs, FY2026E</t>
  </si>
  <si>
    <t>MXN mm</t>
  </si>
  <si>
    <t>Paid in MXN</t>
  </si>
  <si>
    <t>Fleet fuel economy</t>
  </si>
  <si>
    <t>FY2025A fleet average</t>
  </si>
  <si>
    <t>Tractors in service, FY2026E</t>
  </si>
  <si>
    <t>tractors</t>
  </si>
  <si>
    <t>Fleet plan</t>
  </si>
  <si>
    <t>Driver wages and benefits per mile</t>
  </si>
  <si>
    <t>2026 driver pay plan</t>
  </si>
  <si>
    <t>Maintenance per mile</t>
  </si>
  <si>
    <t>FY2025A run-rate</t>
  </si>
  <si>
    <t>Insurance and claims per mile</t>
  </si>
  <si>
    <t>2026 insurance renewal</t>
  </si>
  <si>
    <t>Other operating expenses, % of revenue ex fuel surcharge</t>
  </si>
  <si>
    <t>D&amp;A, % of revenue ex fuel surcharge</t>
  </si>
  <si>
    <t>Net capex, % of revenue ex fuel surcharge</t>
  </si>
  <si>
    <t>Tractor and trailer replacement cycle</t>
  </si>
  <si>
    <t>Net working capital, % of revenue</t>
  </si>
  <si>
    <t>Market and policy inputs (close of 27-Feb-2026)</t>
  </si>
  <si>
    <t>On-highway diesel, US average retail</t>
  </si>
  <si>
    <t>EIA weekly, FRED series GASDESW, week of 23-Feb-2026</t>
  </si>
  <si>
    <t>USD/CAD exchange rate</t>
  </si>
  <si>
    <t>C$ per $</t>
  </si>
  <si>
    <t>Fed H.10 noon buying rate, FRED series DEXCAUS, 27-Feb-2026</t>
  </si>
  <si>
    <t>Federal heavy vehicle use tax, per tractor</t>
  </si>
  <si>
    <t>$/year</t>
  </si>
  <si>
    <t>26 U.S.C. 4481, vehicles over 75,000 lbs</t>
  </si>
  <si>
    <t>US federal corporate income tax rate</t>
  </si>
  <si>
    <t>IRC section 11(b)</t>
  </si>
  <si>
    <t>Financing</t>
  </si>
  <si>
    <t>Equipment financing balance, 31-Dec-2025</t>
  </si>
  <si>
    <t>Floating-rate equipment notes; amortization paid each December</t>
  </si>
  <si>
    <t>Scheduled amortization, % of balance per year</t>
  </si>
  <si>
    <t>Equipment note schedules</t>
  </si>
  <si>
    <t>Margin over SOFR</t>
  </si>
  <si>
    <t>Equipment note pricing</t>
  </si>
  <si>
    <t>Cash, 27-Feb-2026</t>
  </si>
  <si>
    <t>Management accounts</t>
  </si>
  <si>
    <t>Growth</t>
  </si>
  <si>
    <t>FY2026E</t>
  </si>
  <si>
    <t>FY2027E</t>
  </si>
  <si>
    <t>FY2028E</t>
  </si>
  <si>
    <t>FY2029E</t>
  </si>
  <si>
    <t>FY2030E</t>
  </si>
  <si>
    <t>Miles growth, year on year</t>
  </si>
  <si>
    <t>Network plan</t>
  </si>
  <si>
    <t>Rate per mile growth, year on year</t>
  </si>
  <si>
    <t>Contract renewal plan</t>
  </si>
  <si>
    <t>Keystone Freight Lines, Inc. - Income Statement</t>
  </si>
  <si>
    <t>FY2025A</t>
  </si>
  <si>
    <t>Miles growth</t>
  </si>
  <si>
    <t>Rate per mile growth</t>
  </si>
  <si>
    <t>Total miles (million)</t>
  </si>
  <si>
    <t>Linehaul revenue per mile ($)</t>
  </si>
  <si>
    <t>Operating revenue</t>
  </si>
  <si>
    <t>Linehaul revenue</t>
  </si>
  <si>
    <t>Fuel surcharge revenue</t>
  </si>
  <si>
    <t>Canada cross-border revenue (C$mm)</t>
  </si>
  <si>
    <t>Canada cross-border revenue</t>
  </si>
  <si>
    <t>Total operating revenue</t>
  </si>
  <si>
    <t xml:space="preserve">   Revenue excluding fuel surcharge</t>
  </si>
  <si>
    <t>Operating expenses (ex D&amp;A)</t>
  </si>
  <si>
    <t>Diesel consumed (million gal)</t>
  </si>
  <si>
    <t>Fuel</t>
  </si>
  <si>
    <t>Driver wages and benefits</t>
  </si>
  <si>
    <t>Maintenance</t>
  </si>
  <si>
    <t>Insurance and claims</t>
  </si>
  <si>
    <t>Tractors in service</t>
  </si>
  <si>
    <t>Heavy vehicle use tax</t>
  </si>
  <si>
    <t>Mexico terminal and drayage costs (MXN mm)</t>
  </si>
  <si>
    <t>Mexico terminal and drayage costs</t>
  </si>
  <si>
    <t>Other operating expenses</t>
  </si>
  <si>
    <t>Total operating expenses (ex D&amp;A)</t>
  </si>
  <si>
    <t>EBITDA</t>
  </si>
  <si>
    <t xml:space="preserve">   EBITDA margin</t>
  </si>
  <si>
    <t>Depreciation and amortization</t>
  </si>
  <si>
    <t>EBIT</t>
  </si>
  <si>
    <t>Debt, opening</t>
  </si>
  <si>
    <t>Debt, closing</t>
  </si>
  <si>
    <t>Interest rate (SOFR + margin)</t>
  </si>
  <si>
    <t>Interest expense</t>
  </si>
  <si>
    <t>Pre-tax income</t>
  </si>
  <si>
    <t>Income tax</t>
  </si>
  <si>
    <t>Net income</t>
  </si>
  <si>
    <t>Keystone Freight Lines, Inc. - DCF Valuation</t>
  </si>
  <si>
    <t>US$ millions unless noted. Unlevered free cash flow, end-of-period discounting.</t>
  </si>
  <si>
    <t>Discount rate (WACC)</t>
  </si>
  <si>
    <t>Valuation date</t>
  </si>
  <si>
    <t>Equity risk premium</t>
  </si>
  <si>
    <t>House view</t>
  </si>
  <si>
    <t>Levered beta</t>
  </si>
  <si>
    <t>Median of US truckload carrier peers, 2-year weekly</t>
  </si>
  <si>
    <t>Size premium</t>
  </si>
  <si>
    <t>Cost of equity</t>
  </si>
  <si>
    <t>CAPM + size premium</t>
  </si>
  <si>
    <t>Pre-tax cost of debt</t>
  </si>
  <si>
    <t>Equipment note all-in rate, FY2026E</t>
  </si>
  <si>
    <t>Tax rate</t>
  </si>
  <si>
    <t>After-tax cost of debt</t>
  </si>
  <si>
    <t>Target debt / total capital</t>
  </si>
  <si>
    <t>Board-approved capital structure</t>
  </si>
  <si>
    <t>WACC</t>
  </si>
  <si>
    <t>Terminal growth rate</t>
  </si>
  <si>
    <t>House view, long-run nominal growth</t>
  </si>
  <si>
    <t>Unlevered free cash flow</t>
  </si>
  <si>
    <t>Fiscal year end</t>
  </si>
  <si>
    <t>Less: depreciation and amortization</t>
  </si>
  <si>
    <t>Less: taxes on EBIT</t>
  </si>
  <si>
    <t>Add back: depreciation and amortization</t>
  </si>
  <si>
    <t>Less: capex</t>
  </si>
  <si>
    <t>Less: increase in net working capital</t>
  </si>
  <si>
    <t>Share of year after valuation date</t>
  </si>
  <si>
    <t>Free cash flow to discount</t>
  </si>
  <si>
    <t>Discount period (years)</t>
  </si>
  <si>
    <t>Discount factor</t>
  </si>
  <si>
    <t>Present value of free cash flow</t>
  </si>
  <si>
    <t>Valuation</t>
  </si>
  <si>
    <t>Sum of PV of free cash flow, FY2026E-FY2030E</t>
  </si>
  <si>
    <t>Terminal value at end of FY2030E (Gordon growth)</t>
  </si>
  <si>
    <t>PV of terminal value</t>
  </si>
  <si>
    <t>Enterprise value (NPV)</t>
  </si>
  <si>
    <t>Less: debt outstanding</t>
  </si>
  <si>
    <t>Amortization is paid in December, so the 31-Dec-2025 balance is still outstanding</t>
  </si>
  <si>
    <t>Add: cash</t>
  </si>
  <si>
    <t>Equity value</t>
  </si>
  <si>
    <t>Implied EV / FY2026E EBITDA</t>
  </si>
  <si>
    <t>Terminal value share of enterprise value</t>
  </si>
</sst>
</file>

<file path=xl/styles.xml><?xml version="1.0" encoding="utf-8"?>
<styleSheet xmlns="http://schemas.openxmlformats.org/spreadsheetml/2006/main">
  <numFmts count="12">
    <numFmt numFmtId="0" formatCode="General"/>
    <numFmt numFmtId="59" formatCode="d-mmm-yyyy"/>
    <numFmt numFmtId="60" formatCode="#,##0.0;(#,##0.0);&quot;–&quot;"/>
    <numFmt numFmtId="61" formatCode="&quot;$&quot;#,##0.00"/>
    <numFmt numFmtId="62" formatCode="0.0%;(0.0%);&quot;–&quot;"/>
    <numFmt numFmtId="63" formatCode="#,##0;(#,##0);&quot;–&quot;"/>
    <numFmt numFmtId="64" formatCode="&quot;$&quot;#,##0.000"/>
    <numFmt numFmtId="65" formatCode="0.0000"/>
    <numFmt numFmtId="66" formatCode="&quot;$&quot;#,##0"/>
    <numFmt numFmtId="67" formatCode="0.00%;(0.00%);&quot;–&quot;"/>
    <numFmt numFmtId="68" formatCode="#,##0.00;(#,##0.00);&quot;–&quot;"/>
    <numFmt numFmtId="69" formatCode="0.0&quot;x&quot;"/>
  </numFmts>
  <fonts count="15">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4"/>
      <color indexed="8"/>
      <name val="Arial"/>
    </font>
    <font>
      <i val="1"/>
      <sz val="10"/>
      <color indexed="13"/>
      <name val="Arial"/>
    </font>
    <font>
      <b val="1"/>
      <sz val="10"/>
      <color indexed="8"/>
      <name val="Arial"/>
    </font>
    <font>
      <sz val="10"/>
      <color indexed="8"/>
      <name val="Arial"/>
    </font>
    <font>
      <sz val="10"/>
      <color indexed="11"/>
      <name val="Arial"/>
    </font>
    <font>
      <sz val="10"/>
      <color indexed="15"/>
      <name val="Arial"/>
    </font>
    <font>
      <b val="1"/>
      <sz val="10"/>
      <color indexed="14"/>
      <name val="Arial"/>
    </font>
    <font>
      <i val="1"/>
      <sz val="9"/>
      <color indexed="13"/>
      <name val="Arial"/>
    </font>
    <font>
      <b val="1"/>
      <sz val="10"/>
      <color indexed="15"/>
      <name val="Arial"/>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4"/>
        <bgColor auto="1"/>
      </patternFill>
    </fill>
    <fill>
      <patternFill patternType="solid">
        <fgColor indexed="16"/>
        <bgColor auto="1"/>
      </patternFill>
    </fill>
    <fill>
      <patternFill patternType="solid">
        <fgColor indexed="17"/>
        <bgColor auto="1"/>
      </patternFill>
    </fill>
  </fills>
  <borders count="22">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style="thin">
        <color indexed="12"/>
      </left>
      <right/>
      <top/>
      <bottom style="thin">
        <color indexed="8"/>
      </bottom>
      <diagonal/>
    </border>
    <border>
      <left/>
      <right/>
      <top/>
      <bottom style="thin">
        <color indexed="8"/>
      </bottom>
      <diagonal/>
    </border>
    <border>
      <left/>
      <right style="thin">
        <color indexed="12"/>
      </right>
      <top/>
      <bottom style="thin">
        <color indexed="8"/>
      </bottom>
      <diagonal/>
    </border>
    <border>
      <left style="thin">
        <color indexed="12"/>
      </left>
      <right/>
      <top style="thin">
        <color indexed="8"/>
      </top>
      <bottom/>
      <diagonal/>
    </border>
    <border>
      <left/>
      <right/>
      <top style="thin">
        <color indexed="8"/>
      </top>
      <bottom/>
      <diagonal/>
    </border>
    <border>
      <left/>
      <right style="thin">
        <color indexed="12"/>
      </right>
      <top style="thin">
        <color indexed="8"/>
      </top>
      <bottom/>
      <diagonal/>
    </border>
    <border>
      <left style="thin">
        <color indexed="12"/>
      </left>
      <right/>
      <top style="thin">
        <color indexed="8"/>
      </top>
      <bottom style="thin">
        <color indexed="8"/>
      </bottom>
      <diagonal/>
    </border>
    <border>
      <left/>
      <right/>
      <top style="thin">
        <color indexed="8"/>
      </top>
      <bottom style="thin">
        <color indexed="8"/>
      </bottom>
      <diagonal/>
    </border>
    <border>
      <left/>
      <right style="thin">
        <color indexed="12"/>
      </right>
      <top style="thin">
        <color indexed="8"/>
      </top>
      <bottom style="thin">
        <color indexed="8"/>
      </bottom>
      <diagonal/>
    </border>
    <border>
      <left style="thin">
        <color indexed="12"/>
      </left>
      <right/>
      <top style="thin">
        <color indexed="8"/>
      </top>
      <bottom style="thin">
        <color indexed="12"/>
      </bottom>
      <diagonal/>
    </border>
    <border>
      <left/>
      <right/>
      <top style="thin">
        <color indexed="8"/>
      </top>
      <bottom style="thin">
        <color indexed="12"/>
      </bottom>
      <diagonal/>
    </border>
    <border>
      <left/>
      <right style="thin">
        <color indexed="12"/>
      </right>
      <top style="thin">
        <color indexed="8"/>
      </top>
      <bottom style="thin">
        <color indexed="12"/>
      </bottom>
      <diagonal/>
    </border>
  </borders>
  <cellStyleXfs count="1">
    <xf numFmtId="0" fontId="0" applyNumberFormat="0" applyFont="1" applyFill="0" applyBorder="0" applyAlignment="1" applyProtection="0">
      <alignment vertical="bottom"/>
    </xf>
  </cellStyleXfs>
  <cellXfs count="99">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6" borderId="5" applyNumberFormat="1"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7" borderId="5" applyNumberFormat="1" applyFont="1" applyFill="0" applyBorder="1" applyAlignment="1" applyProtection="0">
      <alignment vertical="bottom"/>
    </xf>
    <xf numFmtId="49" fontId="8" borderId="5" applyNumberFormat="1" applyFont="1" applyFill="0" applyBorder="1" applyAlignment="1" applyProtection="0">
      <alignment vertical="bottom"/>
    </xf>
    <xf numFmtId="59" fontId="9" borderId="5" applyNumberFormat="1" applyFont="1" applyFill="0" applyBorder="1" applyAlignment="1" applyProtection="0">
      <alignment horizontal="left" vertical="bottom"/>
    </xf>
    <xf numFmtId="49" fontId="9" borderId="5" applyNumberFormat="1" applyFont="1" applyFill="0" applyBorder="1" applyAlignment="1" applyProtection="0">
      <alignment horizontal="left" vertical="bottom"/>
    </xf>
    <xf numFmtId="49" fontId="9" fillId="4" borderId="5" applyNumberFormat="1" applyFont="1" applyFill="1" applyBorder="1" applyAlignment="1" applyProtection="0">
      <alignment vertical="top" wrapText="1"/>
    </xf>
    <xf numFmtId="49" fontId="9" borderId="5" applyNumberFormat="1" applyFont="1" applyFill="0" applyBorder="1" applyAlignment="1" applyProtection="0">
      <alignment vertical="bottom"/>
    </xf>
    <xf numFmtId="49" fontId="10" borderId="5" applyNumberFormat="1" applyFont="1" applyFill="0" applyBorder="1" applyAlignment="1" applyProtection="0">
      <alignment vertical="bottom"/>
    </xf>
    <xf numFmtId="49" fontId="11" borderId="5" applyNumberFormat="1" applyFont="1" applyFill="0" applyBorder="1" applyAlignment="1" applyProtection="0">
      <alignment vertical="bottom"/>
    </xf>
    <xf numFmtId="0" fontId="0" borderId="7" applyNumberFormat="0" applyFont="1" applyFill="0" applyBorder="1" applyAlignment="1" applyProtection="0">
      <alignment vertical="bottom"/>
    </xf>
    <xf numFmtId="0" fontId="9" fillId="5" borderId="8" applyNumberFormat="0" applyFont="1" applyFill="1" applyBorder="1" applyAlignment="1" applyProtection="0">
      <alignment vertical="bottom"/>
    </xf>
    <xf numFmtId="49" fontId="9" borderId="8" applyNumberFormat="1" applyFont="1" applyFill="0" applyBorder="1" applyAlignment="1" applyProtection="0">
      <alignment vertical="bottom"/>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6" borderId="1" applyNumberFormat="1" applyFont="1" applyFill="0" applyBorder="1" applyAlignment="1" applyProtection="0">
      <alignment vertical="bottom"/>
    </xf>
    <xf numFmtId="49" fontId="7" borderId="4" applyNumberFormat="1" applyFont="1" applyFill="0" applyBorder="1" applyAlignment="1" applyProtection="0">
      <alignment vertical="bottom"/>
    </xf>
    <xf numFmtId="49" fontId="12" fillId="6" borderId="4" applyNumberFormat="1" applyFont="1" applyFill="1" applyBorder="1" applyAlignment="1" applyProtection="0">
      <alignment vertical="bottom"/>
    </xf>
    <xf numFmtId="49" fontId="12" fillId="6" borderId="5" applyNumberFormat="1" applyFont="1" applyFill="1" applyBorder="1" applyAlignment="1" applyProtection="0">
      <alignment vertical="bottom"/>
    </xf>
    <xf numFmtId="0" fontId="0" fillId="6" borderId="5" applyNumberFormat="0" applyFont="1" applyFill="1" applyBorder="1" applyAlignment="1" applyProtection="0">
      <alignment vertical="bottom"/>
    </xf>
    <xf numFmtId="49" fontId="12" fillId="6" borderId="6" applyNumberFormat="1" applyFont="1" applyFill="1" applyBorder="1" applyAlignment="1" applyProtection="0">
      <alignment vertical="bottom"/>
    </xf>
    <xf numFmtId="49" fontId="9" borderId="4" applyNumberFormat="1" applyFont="1" applyFill="0" applyBorder="1" applyAlignment="1" applyProtection="0">
      <alignment vertical="bottom"/>
    </xf>
    <xf numFmtId="60" fontId="10" borderId="5" applyNumberFormat="1" applyFont="1" applyFill="0" applyBorder="1" applyAlignment="1" applyProtection="0">
      <alignment vertical="bottom"/>
    </xf>
    <xf numFmtId="49" fontId="13" borderId="6" applyNumberFormat="1" applyFont="1" applyFill="0" applyBorder="1" applyAlignment="1" applyProtection="0">
      <alignment vertical="bottom"/>
    </xf>
    <xf numFmtId="61" fontId="10" borderId="5" applyNumberFormat="1" applyFont="1" applyFill="0" applyBorder="1" applyAlignment="1" applyProtection="0">
      <alignment vertical="bottom"/>
    </xf>
    <xf numFmtId="62" fontId="10" borderId="5" applyNumberFormat="1" applyFont="1" applyFill="0" applyBorder="1" applyAlignment="1" applyProtection="0">
      <alignment vertical="bottom"/>
    </xf>
    <xf numFmtId="63" fontId="10" borderId="5" applyNumberFormat="1" applyFont="1" applyFill="0" applyBorder="1" applyAlignment="1" applyProtection="0">
      <alignment vertical="bottom"/>
    </xf>
    <xf numFmtId="0" fontId="0" fillId="6" borderId="6" applyNumberFormat="0" applyFont="1" applyFill="1" applyBorder="1" applyAlignment="1" applyProtection="0">
      <alignment vertical="bottom"/>
    </xf>
    <xf numFmtId="64" fontId="10" borderId="5" applyNumberFormat="1" applyFont="1" applyFill="0" applyBorder="1" applyAlignment="1" applyProtection="0">
      <alignment vertical="bottom"/>
    </xf>
    <xf numFmtId="65" fontId="10" borderId="5" applyNumberFormat="1" applyFont="1" applyFill="0" applyBorder="1" applyAlignment="1" applyProtection="0">
      <alignment vertical="bottom"/>
    </xf>
    <xf numFmtId="66" fontId="10" borderId="5" applyNumberFormat="1" applyFont="1" applyFill="0" applyBorder="1" applyAlignment="1" applyProtection="0">
      <alignment vertical="bottom"/>
    </xf>
    <xf numFmtId="67" fontId="10" borderId="5" applyNumberFormat="1" applyFont="1" applyFill="0" applyBorder="1" applyAlignment="1" applyProtection="0">
      <alignment vertical="bottom"/>
    </xf>
    <xf numFmtId="49" fontId="12" fillId="6" borderId="5" applyNumberFormat="1" applyFont="1" applyFill="1" applyBorder="1" applyAlignment="1" applyProtection="0">
      <alignment horizontal="right" vertical="bottom"/>
    </xf>
    <xf numFmtId="49" fontId="9" borderId="7" applyNumberFormat="1" applyFont="1" applyFill="0" applyBorder="1" applyAlignment="1" applyProtection="0">
      <alignment vertical="bottom"/>
    </xf>
    <xf numFmtId="62" fontId="10" borderId="8" applyNumberFormat="1" applyFont="1" applyFill="0" applyBorder="1" applyAlignment="1" applyProtection="0">
      <alignment vertical="bottom"/>
    </xf>
    <xf numFmtId="49" fontId="13" borderId="9" applyNumberFormat="1" applyFont="1" applyFill="0" applyBorder="1" applyAlignment="1" applyProtection="0">
      <alignment vertical="bottom"/>
    </xf>
    <xf numFmtId="0" fontId="0" applyNumberFormat="1" applyFont="1" applyFill="0" applyBorder="0" applyAlignment="1" applyProtection="0">
      <alignment vertical="bottom"/>
    </xf>
    <xf numFmtId="0" fontId="12" fillId="6" borderId="4" applyNumberFormat="0" applyFont="1" applyFill="1" applyBorder="1" applyAlignment="1" applyProtection="0">
      <alignment vertical="bottom"/>
    </xf>
    <xf numFmtId="49" fontId="12" fillId="6" borderId="6" applyNumberFormat="1" applyFont="1" applyFill="1" applyBorder="1" applyAlignment="1" applyProtection="0">
      <alignment horizontal="right" vertical="bottom"/>
    </xf>
    <xf numFmtId="62" fontId="11" borderId="5" applyNumberFormat="1" applyFont="1" applyFill="0" applyBorder="1" applyAlignment="1" applyProtection="0">
      <alignment vertical="bottom"/>
    </xf>
    <xf numFmtId="62" fontId="11" borderId="6" applyNumberFormat="1" applyFont="1" applyFill="0" applyBorder="1" applyAlignment="1" applyProtection="0">
      <alignment vertical="bottom"/>
    </xf>
    <xf numFmtId="60" fontId="9" borderId="5" applyNumberFormat="1" applyFont="1" applyFill="0" applyBorder="1" applyAlignment="1" applyProtection="0">
      <alignment vertical="bottom"/>
    </xf>
    <xf numFmtId="60" fontId="9" borderId="6" applyNumberFormat="1" applyFont="1" applyFill="0" applyBorder="1" applyAlignment="1" applyProtection="0">
      <alignment vertical="bottom"/>
    </xf>
    <xf numFmtId="61" fontId="9" borderId="5" applyNumberFormat="1" applyFont="1" applyFill="0" applyBorder="1" applyAlignment="1" applyProtection="0">
      <alignment vertical="bottom"/>
    </xf>
    <xf numFmtId="61" fontId="9" borderId="6" applyNumberFormat="1" applyFont="1" applyFill="0" applyBorder="1" applyAlignment="1" applyProtection="0">
      <alignment vertical="bottom"/>
    </xf>
    <xf numFmtId="49" fontId="8" borderId="4" applyNumberFormat="1" applyFont="1" applyFill="0" applyBorder="1" applyAlignment="1" applyProtection="0">
      <alignment vertical="bottom"/>
    </xf>
    <xf numFmtId="49" fontId="9" borderId="10" applyNumberFormat="1" applyFont="1" applyFill="0" applyBorder="1" applyAlignment="1" applyProtection="0">
      <alignment vertical="bottom"/>
    </xf>
    <xf numFmtId="60" fontId="9" borderId="11" applyNumberFormat="1" applyFont="1" applyFill="0" applyBorder="1" applyAlignment="1" applyProtection="0">
      <alignment vertical="bottom"/>
    </xf>
    <xf numFmtId="60" fontId="9" borderId="12" applyNumberFormat="1" applyFont="1" applyFill="0" applyBorder="1" applyAlignment="1" applyProtection="0">
      <alignment vertical="bottom"/>
    </xf>
    <xf numFmtId="49" fontId="8" borderId="13" applyNumberFormat="1" applyFont="1" applyFill="0" applyBorder="1" applyAlignment="1" applyProtection="0">
      <alignment vertical="bottom"/>
    </xf>
    <xf numFmtId="60" fontId="14" borderId="5" applyNumberFormat="1" applyFont="1" applyFill="0" applyBorder="1" applyAlignment="1" applyProtection="0">
      <alignment vertical="bottom"/>
    </xf>
    <xf numFmtId="60" fontId="8" borderId="14" applyNumberFormat="1" applyFont="1" applyFill="0" applyBorder="1" applyAlignment="1" applyProtection="0">
      <alignment vertical="bottom"/>
    </xf>
    <xf numFmtId="60" fontId="8" borderId="15" applyNumberFormat="1" applyFont="1" applyFill="0" applyBorder="1" applyAlignment="1" applyProtection="0">
      <alignment vertical="bottom"/>
    </xf>
    <xf numFmtId="63" fontId="9" borderId="5" applyNumberFormat="1" applyFont="1" applyFill="0" applyBorder="1" applyAlignment="1" applyProtection="0">
      <alignment vertical="bottom"/>
    </xf>
    <xf numFmtId="63" fontId="9" borderId="6" applyNumberFormat="1" applyFont="1" applyFill="0" applyBorder="1" applyAlignment="1" applyProtection="0">
      <alignment vertical="bottom"/>
    </xf>
    <xf numFmtId="68" fontId="9" borderId="5" applyNumberFormat="1" applyFont="1" applyFill="0" applyBorder="1" applyAlignment="1" applyProtection="0">
      <alignment vertical="bottom"/>
    </xf>
    <xf numFmtId="68" fontId="9" borderId="6" applyNumberFormat="1" applyFont="1" applyFill="0" applyBorder="1" applyAlignment="1" applyProtection="0">
      <alignment vertical="bottom"/>
    </xf>
    <xf numFmtId="49" fontId="9" borderId="16" applyNumberFormat="1" applyFont="1" applyFill="0" applyBorder="1" applyAlignment="1" applyProtection="0">
      <alignment vertical="bottom"/>
    </xf>
    <xf numFmtId="60" fontId="9" borderId="17" applyNumberFormat="1" applyFont="1" applyFill="0" applyBorder="1" applyAlignment="1" applyProtection="0">
      <alignment vertical="bottom"/>
    </xf>
    <xf numFmtId="60" fontId="9" borderId="18" applyNumberFormat="1" applyFont="1" applyFill="0" applyBorder="1" applyAlignment="1" applyProtection="0">
      <alignment vertical="bottom"/>
    </xf>
    <xf numFmtId="60" fontId="8" fillId="5" borderId="14" applyNumberFormat="1" applyFont="1" applyFill="1" applyBorder="1" applyAlignment="1" applyProtection="0">
      <alignment vertical="bottom"/>
    </xf>
    <xf numFmtId="60" fontId="8" fillId="5" borderId="15" applyNumberFormat="1" applyFont="1" applyFill="1" applyBorder="1" applyAlignment="1" applyProtection="0">
      <alignment vertical="bottom"/>
    </xf>
    <xf numFmtId="62" fontId="9" borderId="5" applyNumberFormat="1" applyFont="1" applyFill="0" applyBorder="1" applyAlignment="1" applyProtection="0">
      <alignment vertical="bottom"/>
    </xf>
    <xf numFmtId="62" fontId="9" borderId="6" applyNumberFormat="1" applyFont="1" applyFill="0" applyBorder="1" applyAlignment="1" applyProtection="0">
      <alignment vertical="bottom"/>
    </xf>
    <xf numFmtId="67" fontId="9" borderId="5" applyNumberFormat="1" applyFont="1" applyFill="0" applyBorder="1" applyAlignment="1" applyProtection="0">
      <alignment vertical="bottom"/>
    </xf>
    <xf numFmtId="67" fontId="9" borderId="6" applyNumberFormat="1" applyFont="1" applyFill="0" applyBorder="1" applyAlignment="1" applyProtection="0">
      <alignment vertical="bottom"/>
    </xf>
    <xf numFmtId="49" fontId="9" borderId="13" applyNumberFormat="1" applyFont="1" applyFill="0" applyBorder="1" applyAlignment="1" applyProtection="0">
      <alignment vertical="bottom"/>
    </xf>
    <xf numFmtId="60" fontId="9" borderId="14" applyNumberFormat="1" applyFont="1" applyFill="0" applyBorder="1" applyAlignment="1" applyProtection="0">
      <alignment vertical="bottom"/>
    </xf>
    <xf numFmtId="60" fontId="9" borderId="15" applyNumberFormat="1" applyFont="1" applyFill="0" applyBorder="1" applyAlignment="1" applyProtection="0">
      <alignment vertical="bottom"/>
    </xf>
    <xf numFmtId="49" fontId="8" borderId="19" applyNumberFormat="1" applyFont="1" applyFill="0" applyBorder="1" applyAlignment="1" applyProtection="0">
      <alignment vertical="bottom"/>
    </xf>
    <xf numFmtId="60" fontId="8" borderId="20" applyNumberFormat="1" applyFont="1" applyFill="0" applyBorder="1" applyAlignment="1" applyProtection="0">
      <alignment vertical="bottom"/>
    </xf>
    <xf numFmtId="60" fontId="8" borderId="21" applyNumberFormat="1" applyFont="1" applyFill="0" applyBorder="1" applyAlignment="1" applyProtection="0">
      <alignment vertical="bottom"/>
    </xf>
    <xf numFmtId="0" fontId="0" applyNumberFormat="1" applyFont="1" applyFill="0" applyBorder="0" applyAlignment="1" applyProtection="0">
      <alignment vertical="bottom"/>
    </xf>
    <xf numFmtId="59" fontId="9" borderId="5" applyNumberFormat="1" applyFont="1" applyFill="0" applyBorder="1" applyAlignment="1" applyProtection="0">
      <alignment vertical="bottom"/>
    </xf>
    <xf numFmtId="2" fontId="10" borderId="5" applyNumberFormat="1" applyFont="1" applyFill="0" applyBorder="1" applyAlignment="1" applyProtection="0">
      <alignment vertical="bottom"/>
    </xf>
    <xf numFmtId="67" fontId="11" borderId="5" applyNumberFormat="1" applyFont="1" applyFill="0" applyBorder="1" applyAlignment="1" applyProtection="0">
      <alignment vertical="bottom"/>
    </xf>
    <xf numFmtId="0" fontId="13" borderId="6" applyNumberFormat="0" applyFont="1" applyFill="0" applyBorder="1" applyAlignment="1" applyProtection="0">
      <alignment vertical="bottom"/>
    </xf>
    <xf numFmtId="67" fontId="8" borderId="5" applyNumberFormat="1" applyFont="1" applyFill="0" applyBorder="1" applyAlignment="1" applyProtection="0">
      <alignment vertical="bottom"/>
    </xf>
    <xf numFmtId="60" fontId="11" borderId="5" applyNumberFormat="1" applyFont="1" applyFill="0" applyBorder="1" applyAlignment="1" applyProtection="0">
      <alignment vertical="bottom"/>
    </xf>
    <xf numFmtId="60" fontId="11" borderId="11" applyNumberFormat="1" applyFont="1" applyFill="0" applyBorder="1" applyAlignment="1" applyProtection="0">
      <alignment vertical="bottom"/>
    </xf>
    <xf numFmtId="2" fontId="9" borderId="5" applyNumberFormat="1" applyFont="1" applyFill="0" applyBorder="1" applyAlignment="1" applyProtection="0">
      <alignment vertical="bottom"/>
    </xf>
    <xf numFmtId="65" fontId="9" borderId="5" applyNumberFormat="1" applyFont="1" applyFill="0" applyBorder="1" applyAlignment="1" applyProtection="0">
      <alignment vertical="bottom"/>
    </xf>
    <xf numFmtId="60" fontId="8" borderId="5" applyNumberFormat="1" applyFont="1" applyFill="0" applyBorder="1" applyAlignment="1" applyProtection="0">
      <alignment vertical="bottom"/>
    </xf>
    <xf numFmtId="60" fontId="8" fillId="5" borderId="5" applyNumberFormat="1" applyFont="1" applyFill="1" applyBorder="1" applyAlignment="1" applyProtection="0">
      <alignment vertical="bottom"/>
    </xf>
    <xf numFmtId="69" fontId="11" borderId="5" applyNumberFormat="1" applyFont="1" applyFill="0" applyBorder="1" applyAlignment="1" applyProtection="0">
      <alignment vertical="bottom"/>
    </xf>
    <xf numFmtId="62" fontId="9" borderId="8"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595959"/>
      <rgbColor rgb="ffffffff"/>
      <rgbColor rgb="ff008000"/>
      <rgbColor rgb="ffffff00"/>
      <rgbColor rgb="ff1f3864"/>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2.xml><?xml version="1.0" encoding="utf-8"?>
<worksheet xmlns:r="http://schemas.openxmlformats.org/officeDocument/2006/relationships" xmlns="http://schemas.openxmlformats.org/spreadsheetml/2006/main">
  <dimension ref="A1:E23"/>
  <sheetViews>
    <sheetView workbookViewId="0" showGridLines="0" defaultGridColor="1"/>
  </sheetViews>
  <sheetFormatPr defaultColWidth="8.83333" defaultRowHeight="15" customHeight="1" outlineLevelRow="0" outlineLevelCol="0"/>
  <cols>
    <col min="1" max="1" width="3" style="6" customWidth="1"/>
    <col min="2" max="2" width="28" style="6" customWidth="1"/>
    <col min="3" max="3" width="72" style="6" customWidth="1"/>
    <col min="4" max="5" width="8.85156" style="6" customWidth="1"/>
    <col min="6" max="16384" width="8.85156" style="6" customWidth="1"/>
  </cols>
  <sheetData>
    <row r="1" ht="13.55" customHeight="1">
      <c r="A1" s="7"/>
      <c r="B1" s="8"/>
      <c r="C1" s="8"/>
      <c r="D1" s="8"/>
      <c r="E1" s="9"/>
    </row>
    <row r="2" ht="18.5" customHeight="1">
      <c r="A2" s="10"/>
      <c r="B2" t="s" s="11">
        <v>6</v>
      </c>
      <c r="C2" s="12"/>
      <c r="D2" s="12"/>
      <c r="E2" s="13"/>
    </row>
    <row r="3" ht="13.65" customHeight="1">
      <c r="A3" s="10"/>
      <c r="B3" t="s" s="14">
        <v>7</v>
      </c>
      <c r="C3" s="12"/>
      <c r="D3" s="12"/>
      <c r="E3" s="13"/>
    </row>
    <row r="4" ht="13.55" customHeight="1">
      <c r="A4" s="10"/>
      <c r="B4" s="12"/>
      <c r="C4" s="12"/>
      <c r="D4" s="12"/>
      <c r="E4" s="13"/>
    </row>
    <row r="5" ht="13.65" customHeight="1">
      <c r="A5" s="10"/>
      <c r="B5" t="s" s="15">
        <v>8</v>
      </c>
      <c r="C5" s="16">
        <v>46082</v>
      </c>
      <c r="D5" s="12"/>
      <c r="E5" s="13"/>
    </row>
    <row r="6" ht="13.65" customHeight="1">
      <c r="A6" s="10"/>
      <c r="B6" t="s" s="15">
        <v>9</v>
      </c>
      <c r="C6" t="s" s="17">
        <v>10</v>
      </c>
      <c r="D6" s="12"/>
      <c r="E6" s="13"/>
    </row>
    <row r="7" ht="13.65" customHeight="1">
      <c r="A7" s="10"/>
      <c r="B7" t="s" s="15">
        <v>11</v>
      </c>
      <c r="C7" t="s" s="17">
        <v>12</v>
      </c>
      <c r="D7" s="12"/>
      <c r="E7" s="13"/>
    </row>
    <row r="8" ht="13.65" customHeight="1">
      <c r="A8" s="10"/>
      <c r="B8" t="s" s="15">
        <v>13</v>
      </c>
      <c r="C8" t="s" s="17">
        <v>14</v>
      </c>
      <c r="D8" s="12"/>
      <c r="E8" s="13"/>
    </row>
    <row r="9" ht="13.65" customHeight="1">
      <c r="A9" s="10"/>
      <c r="B9" t="s" s="15">
        <v>15</v>
      </c>
      <c r="C9" t="s" s="17">
        <v>16</v>
      </c>
      <c r="D9" s="12"/>
      <c r="E9" s="13"/>
    </row>
    <row r="10" ht="13.65" customHeight="1">
      <c r="A10" s="10"/>
      <c r="B10" t="s" s="15">
        <v>17</v>
      </c>
      <c r="C10" t="s" s="17">
        <v>18</v>
      </c>
      <c r="D10" s="12"/>
      <c r="E10" s="13"/>
    </row>
    <row r="11" ht="13.55" customHeight="1">
      <c r="A11" s="10"/>
      <c r="B11" s="12"/>
      <c r="C11" s="12"/>
      <c r="D11" s="12"/>
      <c r="E11" s="13"/>
    </row>
    <row r="12" ht="42" customHeight="1">
      <c r="A12" s="10"/>
      <c r="B12" t="s" s="15">
        <v>19</v>
      </c>
      <c r="C12" t="s" s="18">
        <v>20</v>
      </c>
      <c r="D12" s="12"/>
      <c r="E12" s="13"/>
    </row>
    <row r="13" ht="13.55" customHeight="1">
      <c r="A13" s="10"/>
      <c r="B13" s="12"/>
      <c r="C13" s="12"/>
      <c r="D13" s="12"/>
      <c r="E13" s="13"/>
    </row>
    <row r="14" ht="13.65" customHeight="1">
      <c r="A14" s="10"/>
      <c r="B14" t="s" s="15">
        <v>21</v>
      </c>
      <c r="C14" s="12"/>
      <c r="D14" s="12"/>
      <c r="E14" s="13"/>
    </row>
    <row r="15" ht="13.65" customHeight="1">
      <c r="A15" s="10"/>
      <c r="B15" t="s" s="19">
        <v>22</v>
      </c>
      <c r="C15" t="s" s="19">
        <v>23</v>
      </c>
      <c r="D15" s="12"/>
      <c r="E15" s="13"/>
    </row>
    <row r="16" ht="13.65" customHeight="1">
      <c r="A16" s="10"/>
      <c r="B16" t="s" s="19">
        <v>24</v>
      </c>
      <c r="C16" t="s" s="19">
        <v>25</v>
      </c>
      <c r="D16" s="12"/>
      <c r="E16" s="13"/>
    </row>
    <row r="17" ht="13.65" customHeight="1">
      <c r="A17" s="10"/>
      <c r="B17" t="s" s="19">
        <v>26</v>
      </c>
      <c r="C17" t="s" s="19">
        <v>27</v>
      </c>
      <c r="D17" s="12"/>
      <c r="E17" s="13"/>
    </row>
    <row r="18" ht="13.55" customHeight="1">
      <c r="A18" s="10"/>
      <c r="B18" s="12"/>
      <c r="C18" s="12"/>
      <c r="D18" s="12"/>
      <c r="E18" s="13"/>
    </row>
    <row r="19" ht="13.65" customHeight="1">
      <c r="A19" s="10"/>
      <c r="B19" t="s" s="15">
        <v>28</v>
      </c>
      <c r="C19" s="12"/>
      <c r="D19" s="12"/>
      <c r="E19" s="13"/>
    </row>
    <row r="20" ht="13.65" customHeight="1">
      <c r="A20" s="10"/>
      <c r="B20" t="s" s="20">
        <v>29</v>
      </c>
      <c r="C20" t="s" s="19">
        <v>30</v>
      </c>
      <c r="D20" s="12"/>
      <c r="E20" s="13"/>
    </row>
    <row r="21" ht="13.65" customHeight="1">
      <c r="A21" s="10"/>
      <c r="B21" t="s" s="19">
        <v>29</v>
      </c>
      <c r="C21" t="s" s="19">
        <v>31</v>
      </c>
      <c r="D21" s="12"/>
      <c r="E21" s="13"/>
    </row>
    <row r="22" ht="13.65" customHeight="1">
      <c r="A22" s="10"/>
      <c r="B22" t="s" s="21">
        <v>29</v>
      </c>
      <c r="C22" t="s" s="19">
        <v>32</v>
      </c>
      <c r="D22" s="12"/>
      <c r="E22" s="13"/>
    </row>
    <row r="23" ht="13.65" customHeight="1">
      <c r="A23" s="22"/>
      <c r="B23" s="23"/>
      <c r="C23" t="s" s="24">
        <v>33</v>
      </c>
      <c r="D23" s="25"/>
      <c r="E23" s="26"/>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H37"/>
  <sheetViews>
    <sheetView workbookViewId="0" showGridLines="0" defaultGridColor="1"/>
  </sheetViews>
  <sheetFormatPr defaultColWidth="8.83333" defaultRowHeight="15" customHeight="1" outlineLevelRow="0" outlineLevelCol="0"/>
  <cols>
    <col min="1" max="1" width="54" style="27" customWidth="1"/>
    <col min="2" max="2" width="12" style="27" customWidth="1"/>
    <col min="3" max="3" width="14" style="27" customWidth="1"/>
    <col min="4" max="6" width="12" style="27" customWidth="1"/>
    <col min="7" max="7" width="8.85156" style="27" customWidth="1"/>
    <col min="8" max="8" width="74" style="27" customWidth="1"/>
    <col min="9" max="16384" width="8.85156" style="27" customWidth="1"/>
  </cols>
  <sheetData>
    <row r="1" ht="18.5" customHeight="1">
      <c r="A1" t="s" s="28">
        <v>34</v>
      </c>
      <c r="B1" s="8"/>
      <c r="C1" s="8"/>
      <c r="D1" s="8"/>
      <c r="E1" s="8"/>
      <c r="F1" s="8"/>
      <c r="G1" s="8"/>
      <c r="H1" s="9"/>
    </row>
    <row r="2" ht="13.65" customHeight="1">
      <c r="A2" t="s" s="29">
        <v>35</v>
      </c>
      <c r="B2" s="12"/>
      <c r="C2" s="12"/>
      <c r="D2" s="12"/>
      <c r="E2" s="12"/>
      <c r="F2" s="12"/>
      <c r="G2" s="12"/>
      <c r="H2" s="13"/>
    </row>
    <row r="3" ht="13.55" customHeight="1">
      <c r="A3" s="10"/>
      <c r="B3" s="12"/>
      <c r="C3" s="12"/>
      <c r="D3" s="12"/>
      <c r="E3" s="12"/>
      <c r="F3" s="12"/>
      <c r="G3" s="12"/>
      <c r="H3" s="13"/>
    </row>
    <row r="4" ht="13.65" customHeight="1">
      <c r="A4" t="s" s="30">
        <v>36</v>
      </c>
      <c r="B4" t="s" s="31">
        <v>37</v>
      </c>
      <c r="C4" t="s" s="31">
        <v>38</v>
      </c>
      <c r="D4" s="32"/>
      <c r="E4" s="32"/>
      <c r="F4" s="32"/>
      <c r="G4" s="32"/>
      <c r="H4" t="s" s="33">
        <v>39</v>
      </c>
    </row>
    <row r="5" ht="13.65" customHeight="1">
      <c r="A5" t="s" s="34">
        <v>40</v>
      </c>
      <c r="B5" s="35">
        <v>3050</v>
      </c>
      <c r="C5" t="s" s="19">
        <v>41</v>
      </c>
      <c r="D5" s="12"/>
      <c r="E5" s="12"/>
      <c r="F5" s="12"/>
      <c r="G5" s="12"/>
      <c r="H5" t="s" s="36">
        <v>42</v>
      </c>
    </row>
    <row r="6" ht="13.65" customHeight="1">
      <c r="A6" t="s" s="34">
        <v>43</v>
      </c>
      <c r="B6" s="35">
        <v>980</v>
      </c>
      <c r="C6" t="s" s="19">
        <v>44</v>
      </c>
      <c r="D6" s="12"/>
      <c r="E6" s="12"/>
      <c r="F6" s="12"/>
      <c r="G6" s="12"/>
      <c r="H6" t="s" s="36">
        <v>45</v>
      </c>
    </row>
    <row r="7" ht="13.65" customHeight="1">
      <c r="A7" t="s" s="34">
        <v>46</v>
      </c>
      <c r="B7" s="37">
        <v>2.45</v>
      </c>
      <c r="C7" t="s" s="19">
        <v>47</v>
      </c>
      <c r="D7" s="12"/>
      <c r="E7" s="12"/>
      <c r="F7" s="12"/>
      <c r="G7" s="12"/>
      <c r="H7" t="s" s="36">
        <v>48</v>
      </c>
    </row>
    <row r="8" ht="13.65" customHeight="1">
      <c r="A8" t="s" s="34">
        <v>49</v>
      </c>
      <c r="B8" s="37">
        <v>1.25</v>
      </c>
      <c r="C8" t="s" s="19">
        <v>50</v>
      </c>
      <c r="D8" s="12"/>
      <c r="E8" s="12"/>
      <c r="F8" s="12"/>
      <c r="G8" s="12"/>
      <c r="H8" t="s" s="36">
        <v>51</v>
      </c>
    </row>
    <row r="9" ht="13.65" customHeight="1">
      <c r="A9" t="s" s="34">
        <v>52</v>
      </c>
      <c r="B9" s="35">
        <v>6</v>
      </c>
      <c r="C9" t="s" s="19">
        <v>53</v>
      </c>
      <c r="D9" s="12"/>
      <c r="E9" s="12"/>
      <c r="F9" s="12"/>
      <c r="G9" s="12"/>
      <c r="H9" t="s" s="36">
        <v>51</v>
      </c>
    </row>
    <row r="10" ht="13.65" customHeight="1">
      <c r="A10" t="s" s="34">
        <v>54</v>
      </c>
      <c r="B10" s="38">
        <v>0.85</v>
      </c>
      <c r="C10" t="s" s="19">
        <v>55</v>
      </c>
      <c r="D10" s="12"/>
      <c r="E10" s="12"/>
      <c r="F10" s="12"/>
      <c r="G10" s="12"/>
      <c r="H10" t="s" s="36">
        <v>56</v>
      </c>
    </row>
    <row r="11" ht="13.65" customHeight="1">
      <c r="A11" t="s" s="34">
        <v>57</v>
      </c>
      <c r="B11" s="35">
        <v>420</v>
      </c>
      <c r="C11" t="s" s="19">
        <v>58</v>
      </c>
      <c r="D11" s="12"/>
      <c r="E11" s="12"/>
      <c r="F11" s="12"/>
      <c r="G11" s="12"/>
      <c r="H11" t="s" s="36">
        <v>59</v>
      </c>
    </row>
    <row r="12" ht="13.65" customHeight="1">
      <c r="A12" t="s" s="34">
        <v>60</v>
      </c>
      <c r="B12" s="35">
        <v>3150</v>
      </c>
      <c r="C12" t="s" s="19">
        <v>61</v>
      </c>
      <c r="D12" s="12"/>
      <c r="E12" s="12"/>
      <c r="F12" s="12"/>
      <c r="G12" s="12"/>
      <c r="H12" t="s" s="36">
        <v>62</v>
      </c>
    </row>
    <row r="13" ht="13.65" customHeight="1">
      <c r="A13" t="s" s="34">
        <v>63</v>
      </c>
      <c r="B13" s="35">
        <v>6.9</v>
      </c>
      <c r="C13" t="s" s="19">
        <v>53</v>
      </c>
      <c r="D13" s="12"/>
      <c r="E13" s="12"/>
      <c r="F13" s="12"/>
      <c r="G13" s="12"/>
      <c r="H13" t="s" s="36">
        <v>64</v>
      </c>
    </row>
    <row r="14" ht="13.65" customHeight="1">
      <c r="A14" t="s" s="34">
        <v>65</v>
      </c>
      <c r="B14" s="39">
        <v>6500</v>
      </c>
      <c r="C14" t="s" s="19">
        <v>66</v>
      </c>
      <c r="D14" s="12"/>
      <c r="E14" s="12"/>
      <c r="F14" s="12"/>
      <c r="G14" s="12"/>
      <c r="H14" t="s" s="36">
        <v>67</v>
      </c>
    </row>
    <row r="15" ht="13.65" customHeight="1">
      <c r="A15" t="s" s="34">
        <v>68</v>
      </c>
      <c r="B15" s="37">
        <v>0.95</v>
      </c>
      <c r="C15" t="s" s="19">
        <v>47</v>
      </c>
      <c r="D15" s="12"/>
      <c r="E15" s="12"/>
      <c r="F15" s="12"/>
      <c r="G15" s="12"/>
      <c r="H15" t="s" s="36">
        <v>69</v>
      </c>
    </row>
    <row r="16" ht="13.65" customHeight="1">
      <c r="A16" t="s" s="34">
        <v>70</v>
      </c>
      <c r="B16" s="37">
        <v>0.21</v>
      </c>
      <c r="C16" t="s" s="19">
        <v>47</v>
      </c>
      <c r="D16" s="12"/>
      <c r="E16" s="12"/>
      <c r="F16" s="12"/>
      <c r="G16" s="12"/>
      <c r="H16" t="s" s="36">
        <v>71</v>
      </c>
    </row>
    <row r="17" ht="13.65" customHeight="1">
      <c r="A17" t="s" s="34">
        <v>72</v>
      </c>
      <c r="B17" s="37">
        <v>0.14</v>
      </c>
      <c r="C17" t="s" s="19">
        <v>47</v>
      </c>
      <c r="D17" s="12"/>
      <c r="E17" s="12"/>
      <c r="F17" s="12"/>
      <c r="G17" s="12"/>
      <c r="H17" t="s" s="36">
        <v>73</v>
      </c>
    </row>
    <row r="18" ht="13.65" customHeight="1">
      <c r="A18" t="s" s="34">
        <v>74</v>
      </c>
      <c r="B18" s="38">
        <v>0.14</v>
      </c>
      <c r="C18" t="s" s="19">
        <v>55</v>
      </c>
      <c r="D18" s="12"/>
      <c r="E18" s="12"/>
      <c r="F18" s="12"/>
      <c r="G18" s="12"/>
      <c r="H18" t="s" s="36">
        <v>71</v>
      </c>
    </row>
    <row r="19" ht="13.65" customHeight="1">
      <c r="A19" t="s" s="34">
        <v>75</v>
      </c>
      <c r="B19" s="38">
        <v>0.09</v>
      </c>
      <c r="C19" t="s" s="19">
        <v>55</v>
      </c>
      <c r="D19" s="12"/>
      <c r="E19" s="12"/>
      <c r="F19" s="12"/>
      <c r="G19" s="12"/>
      <c r="H19" t="s" s="36">
        <v>71</v>
      </c>
    </row>
    <row r="20" ht="13.65" customHeight="1">
      <c r="A20" t="s" s="34">
        <v>76</v>
      </c>
      <c r="B20" s="38">
        <v>0.11</v>
      </c>
      <c r="C20" t="s" s="19">
        <v>55</v>
      </c>
      <c r="D20" s="12"/>
      <c r="E20" s="12"/>
      <c r="F20" s="12"/>
      <c r="G20" s="12"/>
      <c r="H20" t="s" s="36">
        <v>77</v>
      </c>
    </row>
    <row r="21" ht="13.65" customHeight="1">
      <c r="A21" t="s" s="34">
        <v>78</v>
      </c>
      <c r="B21" s="38">
        <v>0.06</v>
      </c>
      <c r="C21" t="s" s="19">
        <v>55</v>
      </c>
      <c r="D21" s="12"/>
      <c r="E21" s="12"/>
      <c r="F21" s="12"/>
      <c r="G21" s="12"/>
      <c r="H21" t="s" s="36">
        <v>56</v>
      </c>
    </row>
    <row r="22" ht="13.55" customHeight="1">
      <c r="A22" s="10"/>
      <c r="B22" s="12"/>
      <c r="C22" s="12"/>
      <c r="D22" s="12"/>
      <c r="E22" s="12"/>
      <c r="F22" s="12"/>
      <c r="G22" s="12"/>
      <c r="H22" s="13"/>
    </row>
    <row r="23" ht="13.65" customHeight="1">
      <c r="A23" t="s" s="30">
        <v>79</v>
      </c>
      <c r="B23" s="32"/>
      <c r="C23" s="32"/>
      <c r="D23" s="32"/>
      <c r="E23" s="32"/>
      <c r="F23" s="32"/>
      <c r="G23" s="32"/>
      <c r="H23" s="40"/>
    </row>
    <row r="24" ht="13.65" customHeight="1">
      <c r="A24" t="s" s="34">
        <v>80</v>
      </c>
      <c r="B24" s="41">
        <v>3.809</v>
      </c>
      <c r="C24" t="s" s="19">
        <v>50</v>
      </c>
      <c r="D24" s="12"/>
      <c r="E24" s="12"/>
      <c r="F24" s="12"/>
      <c r="G24" s="12"/>
      <c r="H24" t="s" s="36">
        <v>81</v>
      </c>
    </row>
    <row r="25" ht="13.65" customHeight="1">
      <c r="A25" t="s" s="34">
        <v>82</v>
      </c>
      <c r="B25" s="42">
        <v>1.3632</v>
      </c>
      <c r="C25" t="s" s="19">
        <v>83</v>
      </c>
      <c r="D25" s="12"/>
      <c r="E25" s="12"/>
      <c r="F25" s="12"/>
      <c r="G25" s="12"/>
      <c r="H25" t="s" s="36">
        <v>84</v>
      </c>
    </row>
    <row r="26" ht="13.65" customHeight="1">
      <c r="A26" t="s" s="34">
        <v>85</v>
      </c>
      <c r="B26" s="43">
        <v>550</v>
      </c>
      <c r="C26" t="s" s="19">
        <v>86</v>
      </c>
      <c r="D26" s="12"/>
      <c r="E26" s="12"/>
      <c r="F26" s="12"/>
      <c r="G26" s="12"/>
      <c r="H26" t="s" s="36">
        <v>87</v>
      </c>
    </row>
    <row r="27" ht="13.65" customHeight="1">
      <c r="A27" t="s" s="34">
        <v>88</v>
      </c>
      <c r="B27" s="38">
        <v>0.21</v>
      </c>
      <c r="C27" t="s" s="19">
        <v>55</v>
      </c>
      <c r="D27" s="12"/>
      <c r="E27" s="12"/>
      <c r="F27" s="12"/>
      <c r="G27" s="12"/>
      <c r="H27" t="s" s="36">
        <v>89</v>
      </c>
    </row>
    <row r="28" ht="13.55" customHeight="1">
      <c r="A28" s="10"/>
      <c r="B28" s="12"/>
      <c r="C28" s="12"/>
      <c r="D28" s="12"/>
      <c r="E28" s="12"/>
      <c r="F28" s="12"/>
      <c r="G28" s="12"/>
      <c r="H28" s="13"/>
    </row>
    <row r="29" ht="13.65" customHeight="1">
      <c r="A29" t="s" s="30">
        <v>90</v>
      </c>
      <c r="B29" s="32"/>
      <c r="C29" s="32"/>
      <c r="D29" s="32"/>
      <c r="E29" s="32"/>
      <c r="F29" s="32"/>
      <c r="G29" s="32"/>
      <c r="H29" s="40"/>
    </row>
    <row r="30" ht="13.65" customHeight="1">
      <c r="A30" t="s" s="34">
        <v>91</v>
      </c>
      <c r="B30" s="35">
        <v>1100</v>
      </c>
      <c r="C30" t="s" s="19">
        <v>41</v>
      </c>
      <c r="D30" s="12"/>
      <c r="E30" s="12"/>
      <c r="F30" s="12"/>
      <c r="G30" s="12"/>
      <c r="H30" t="s" s="36">
        <v>92</v>
      </c>
    </row>
    <row r="31" ht="13.65" customHeight="1">
      <c r="A31" t="s" s="34">
        <v>93</v>
      </c>
      <c r="B31" s="38">
        <v>0.1</v>
      </c>
      <c r="C31" t="s" s="19">
        <v>55</v>
      </c>
      <c r="D31" s="12"/>
      <c r="E31" s="12"/>
      <c r="F31" s="12"/>
      <c r="G31" s="12"/>
      <c r="H31" t="s" s="36">
        <v>94</v>
      </c>
    </row>
    <row r="32" ht="13.65" customHeight="1">
      <c r="A32" t="s" s="34">
        <v>95</v>
      </c>
      <c r="B32" s="44">
        <v>0.0185</v>
      </c>
      <c r="C32" t="s" s="19">
        <v>55</v>
      </c>
      <c r="D32" s="12"/>
      <c r="E32" s="12"/>
      <c r="F32" s="12"/>
      <c r="G32" s="12"/>
      <c r="H32" t="s" s="36">
        <v>96</v>
      </c>
    </row>
    <row r="33" ht="13.65" customHeight="1">
      <c r="A33" t="s" s="34">
        <v>97</v>
      </c>
      <c r="B33" s="35">
        <v>140</v>
      </c>
      <c r="C33" t="s" s="19">
        <v>41</v>
      </c>
      <c r="D33" s="12"/>
      <c r="E33" s="12"/>
      <c r="F33" s="12"/>
      <c r="G33" s="12"/>
      <c r="H33" t="s" s="36">
        <v>98</v>
      </c>
    </row>
    <row r="34" ht="13.55" customHeight="1">
      <c r="A34" s="10"/>
      <c r="B34" s="12"/>
      <c r="C34" s="12"/>
      <c r="D34" s="12"/>
      <c r="E34" s="12"/>
      <c r="F34" s="12"/>
      <c r="G34" s="12"/>
      <c r="H34" s="13"/>
    </row>
    <row r="35" ht="13.65" customHeight="1">
      <c r="A35" t="s" s="30">
        <v>99</v>
      </c>
      <c r="B35" t="s" s="45">
        <v>100</v>
      </c>
      <c r="C35" t="s" s="45">
        <v>101</v>
      </c>
      <c r="D35" t="s" s="45">
        <v>102</v>
      </c>
      <c r="E35" t="s" s="45">
        <v>103</v>
      </c>
      <c r="F35" t="s" s="45">
        <v>104</v>
      </c>
      <c r="G35" s="32"/>
      <c r="H35" s="40"/>
    </row>
    <row r="36" ht="13.65" customHeight="1">
      <c r="A36" t="s" s="34">
        <v>105</v>
      </c>
      <c r="B36" s="38">
        <v>0.03</v>
      </c>
      <c r="C36" s="38">
        <v>0.035</v>
      </c>
      <c r="D36" s="38">
        <v>0.035</v>
      </c>
      <c r="E36" s="38">
        <v>0.03</v>
      </c>
      <c r="F36" s="38">
        <v>0.03</v>
      </c>
      <c r="G36" s="12"/>
      <c r="H36" t="s" s="36">
        <v>106</v>
      </c>
    </row>
    <row r="37" ht="13.65" customHeight="1">
      <c r="A37" t="s" s="46">
        <v>107</v>
      </c>
      <c r="B37" s="47">
        <v>0.02</v>
      </c>
      <c r="C37" s="47">
        <v>0.025</v>
      </c>
      <c r="D37" s="47">
        <v>0.025</v>
      </c>
      <c r="E37" s="47">
        <v>0.02</v>
      </c>
      <c r="F37" s="47">
        <v>0.02</v>
      </c>
      <c r="G37" s="25"/>
      <c r="H37" t="s" s="48">
        <v>108</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G42"/>
  <sheetViews>
    <sheetView workbookViewId="0" showGridLines="0" defaultGridColor="1"/>
  </sheetViews>
  <sheetFormatPr defaultColWidth="8.83333" defaultRowHeight="15" customHeight="1" outlineLevelRow="0" outlineLevelCol="0"/>
  <cols>
    <col min="1" max="1" width="46" style="49" customWidth="1"/>
    <col min="2" max="7" width="12" style="49" customWidth="1"/>
    <col min="8" max="16384" width="8.85156" style="49" customWidth="1"/>
  </cols>
  <sheetData>
    <row r="1" ht="18.5" customHeight="1">
      <c r="A1" t="s" s="28">
        <v>109</v>
      </c>
      <c r="B1" s="8"/>
      <c r="C1" s="8"/>
      <c r="D1" s="8"/>
      <c r="E1" s="8"/>
      <c r="F1" s="8"/>
      <c r="G1" s="9"/>
    </row>
    <row r="2" ht="13.65" customHeight="1">
      <c r="A2" t="s" s="29">
        <v>16</v>
      </c>
      <c r="B2" s="12"/>
      <c r="C2" s="12"/>
      <c r="D2" s="12"/>
      <c r="E2" s="12"/>
      <c r="F2" s="12"/>
      <c r="G2" s="13"/>
    </row>
    <row r="3" ht="13.55" customHeight="1">
      <c r="A3" s="10"/>
      <c r="B3" s="12"/>
      <c r="C3" s="12"/>
      <c r="D3" s="12"/>
      <c r="E3" s="12"/>
      <c r="F3" s="12"/>
      <c r="G3" s="13"/>
    </row>
    <row r="4" ht="13.65" customHeight="1">
      <c r="A4" s="50"/>
      <c r="B4" t="s" s="45">
        <v>110</v>
      </c>
      <c r="C4" t="s" s="45">
        <v>100</v>
      </c>
      <c r="D4" t="s" s="45">
        <v>101</v>
      </c>
      <c r="E4" t="s" s="45">
        <v>102</v>
      </c>
      <c r="F4" t="s" s="45">
        <v>103</v>
      </c>
      <c r="G4" t="s" s="51">
        <v>104</v>
      </c>
    </row>
    <row r="5" ht="13.65" customHeight="1">
      <c r="A5" t="s" s="34">
        <v>111</v>
      </c>
      <c r="B5" s="12"/>
      <c r="C5" s="52">
        <f>'Assumptions'!B36</f>
        <v>0.03</v>
      </c>
      <c r="D5" s="52">
        <f>'Assumptions'!C36</f>
        <v>0.035</v>
      </c>
      <c r="E5" s="52">
        <f>'Assumptions'!D36</f>
        <v>0.035</v>
      </c>
      <c r="F5" s="52">
        <f>'Assumptions'!E36</f>
        <v>0.03</v>
      </c>
      <c r="G5" s="53">
        <f>'Assumptions'!F36</f>
        <v>0.03</v>
      </c>
    </row>
    <row r="6" ht="13.65" customHeight="1">
      <c r="A6" t="s" s="34">
        <v>112</v>
      </c>
      <c r="B6" s="12"/>
      <c r="C6" s="52">
        <f>'Assumptions'!B37</f>
        <v>0.02</v>
      </c>
      <c r="D6" s="52">
        <f>'Assumptions'!C37</f>
        <v>0.025</v>
      </c>
      <c r="E6" s="52">
        <f>'Assumptions'!D37</f>
        <v>0.025</v>
      </c>
      <c r="F6" s="52">
        <f>'Assumptions'!E37</f>
        <v>0.02</v>
      </c>
      <c r="G6" s="53">
        <f>'Assumptions'!F37</f>
        <v>0.02</v>
      </c>
    </row>
    <row r="7" ht="13.65" customHeight="1">
      <c r="A7" t="s" s="34">
        <v>113</v>
      </c>
      <c r="B7" s="12"/>
      <c r="C7" s="54">
        <f>'Assumptions'!$B$6</f>
        <v>980</v>
      </c>
      <c r="D7" s="54">
        <f>C7*(1+'Assumptions'!C36)</f>
        <v>1014.3</v>
      </c>
      <c r="E7" s="54">
        <f>D7*(1+'Assumptions'!D36)</f>
        <v>1049.8005</v>
      </c>
      <c r="F7" s="54">
        <f>E7*(1+'Assumptions'!E36)</f>
        <v>1081.294515</v>
      </c>
      <c r="G7" s="55">
        <f>F7*(1+'Assumptions'!F36)</f>
        <v>1113.73335045</v>
      </c>
    </row>
    <row r="8" ht="13.65" customHeight="1">
      <c r="A8" t="s" s="34">
        <v>114</v>
      </c>
      <c r="B8" s="12"/>
      <c r="C8" s="56">
        <f>'Assumptions'!$B$7</f>
        <v>2.45</v>
      </c>
      <c r="D8" s="56">
        <f>C8*(1+'Assumptions'!C37)</f>
        <v>2.51125</v>
      </c>
      <c r="E8" s="56">
        <f>D8*(1+'Assumptions'!D37)</f>
        <v>2.57403125</v>
      </c>
      <c r="F8" s="56">
        <f>E8*(1+'Assumptions'!E37)</f>
        <v>2.625511875</v>
      </c>
      <c r="G8" s="57">
        <f>F8*(1+'Assumptions'!F37)</f>
        <v>2.6780221125</v>
      </c>
    </row>
    <row r="9" ht="13.55" customHeight="1">
      <c r="A9" s="10"/>
      <c r="B9" s="12"/>
      <c r="C9" s="12"/>
      <c r="D9" s="12"/>
      <c r="E9" s="12"/>
      <c r="F9" s="12"/>
      <c r="G9" s="13"/>
    </row>
    <row r="10" ht="13.65" customHeight="1">
      <c r="A10" t="s" s="58">
        <v>115</v>
      </c>
      <c r="B10" s="12"/>
      <c r="C10" s="12"/>
      <c r="D10" s="12"/>
      <c r="E10" s="12"/>
      <c r="F10" s="12"/>
      <c r="G10" s="13"/>
    </row>
    <row r="11" ht="13.65" customHeight="1">
      <c r="A11" t="s" s="34">
        <v>116</v>
      </c>
      <c r="B11" s="12"/>
      <c r="C11" s="54">
        <f>C7*C8</f>
        <v>2401</v>
      </c>
      <c r="D11" s="54">
        <f>D7*D8</f>
        <v>2547.160875</v>
      </c>
      <c r="E11" s="54">
        <f>E7*E8</f>
        <v>2702.219293265630</v>
      </c>
      <c r="F11" s="54">
        <f>F7*F8</f>
        <v>2838.951589504870</v>
      </c>
      <c r="G11" s="55">
        <f>G7*G8</f>
        <v>2982.602539933810</v>
      </c>
    </row>
    <row r="12" ht="13.65" customHeight="1">
      <c r="A12" t="s" s="34">
        <v>117</v>
      </c>
      <c r="B12" s="12"/>
      <c r="C12" s="54">
        <f>C7*MAX(0,'Assumptions'!$B$24-'Assumptions'!$B$8)/'Assumptions'!$B$9*'Assumptions'!$B$10</f>
        <v>355.2745</v>
      </c>
      <c r="D12" s="54">
        <f>D7*MAX(0,'Assumptions'!$B$24-'Assumptions'!$B$8)/'Assumptions'!$B$9*'Assumptions'!$B$10</f>
        <v>367.7091075</v>
      </c>
      <c r="E12" s="54">
        <f>E7*MAX(0,'Assumptions'!$B$24-'Assumptions'!$B$8)/'Assumptions'!$B$9*'Assumptions'!$B$10</f>
        <v>380.5789262625</v>
      </c>
      <c r="F12" s="54">
        <f>F7*MAX(0,'Assumptions'!$B$24-'Assumptions'!$B$8)/'Assumptions'!$B$9*'Assumptions'!$B$10</f>
        <v>391.996294050375</v>
      </c>
      <c r="G12" s="55">
        <f>G7*MAX(0,'Assumptions'!$B$24-'Assumptions'!$B$8)/'Assumptions'!$B$9*'Assumptions'!$B$10</f>
        <v>403.756182871886</v>
      </c>
    </row>
    <row r="13" ht="13.65" customHeight="1">
      <c r="A13" t="s" s="34">
        <v>118</v>
      </c>
      <c r="B13" s="12"/>
      <c r="C13" s="54">
        <f>'Assumptions'!$B$11</f>
        <v>420</v>
      </c>
      <c r="D13" s="54">
        <f>C13*(1+'Assumptions'!C36)</f>
        <v>434.7</v>
      </c>
      <c r="E13" s="54">
        <f>D13*(1+'Assumptions'!D36)</f>
        <v>449.9145</v>
      </c>
      <c r="F13" s="54">
        <f>E13*(1+'Assumptions'!E36)</f>
        <v>463.411935</v>
      </c>
      <c r="G13" s="55">
        <f>F13*(1+'Assumptions'!F36)</f>
        <v>477.31429305</v>
      </c>
    </row>
    <row r="14" ht="13.65" customHeight="1">
      <c r="A14" t="s" s="59">
        <v>119</v>
      </c>
      <c r="B14" s="12"/>
      <c r="C14" s="60">
        <f>C13/'Assumptions'!$B$25</f>
        <v>308.098591549296</v>
      </c>
      <c r="D14" s="60">
        <f>D13/'Assumptions'!$B$25</f>
        <v>318.882042253521</v>
      </c>
      <c r="E14" s="60">
        <f>E13/'Assumptions'!$B$25</f>
        <v>330.042913732394</v>
      </c>
      <c r="F14" s="60">
        <f>F13/'Assumptions'!$B$25</f>
        <v>339.944201144366</v>
      </c>
      <c r="G14" s="61">
        <f>G13/'Assumptions'!$B$25</f>
        <v>350.142527178697</v>
      </c>
    </row>
    <row r="15" ht="13.65" customHeight="1">
      <c r="A15" t="s" s="62">
        <v>120</v>
      </c>
      <c r="B15" s="63">
        <f>'Assumptions'!B5</f>
        <v>3050</v>
      </c>
      <c r="C15" s="64">
        <f>C11+C12+C14</f>
        <v>3064.3730915493</v>
      </c>
      <c r="D15" s="64">
        <f>D11+D12+D14</f>
        <v>3233.752024753520</v>
      </c>
      <c r="E15" s="64">
        <f>E11+E12+E14</f>
        <v>3412.841133260520</v>
      </c>
      <c r="F15" s="64">
        <f>F11+F12+F14</f>
        <v>3570.892084699610</v>
      </c>
      <c r="G15" s="65">
        <f>G11+G12+G14</f>
        <v>3736.501249984390</v>
      </c>
    </row>
    <row r="16" ht="13.65" customHeight="1">
      <c r="A16" t="s" s="34">
        <v>121</v>
      </c>
      <c r="B16" s="12"/>
      <c r="C16" s="54">
        <f>C15-C12</f>
        <v>2709.0985915493</v>
      </c>
      <c r="D16" s="54">
        <f>D15-D12</f>
        <v>2866.042917253520</v>
      </c>
      <c r="E16" s="54">
        <f>E15-E12</f>
        <v>3032.262206998020</v>
      </c>
      <c r="F16" s="54">
        <f>F15-F12</f>
        <v>3178.895790649240</v>
      </c>
      <c r="G16" s="55">
        <f>G15-G12</f>
        <v>3332.7450671125</v>
      </c>
    </row>
    <row r="17" ht="13.55" customHeight="1">
      <c r="A17" s="10"/>
      <c r="B17" s="12"/>
      <c r="C17" s="12"/>
      <c r="D17" s="12"/>
      <c r="E17" s="12"/>
      <c r="F17" s="12"/>
      <c r="G17" s="13"/>
    </row>
    <row r="18" ht="13.65" customHeight="1">
      <c r="A18" t="s" s="58">
        <v>122</v>
      </c>
      <c r="B18" s="12"/>
      <c r="C18" s="12"/>
      <c r="D18" s="12"/>
      <c r="E18" s="12"/>
      <c r="F18" s="12"/>
      <c r="G18" s="13"/>
    </row>
    <row r="19" ht="13.65" customHeight="1">
      <c r="A19" t="s" s="34">
        <v>123</v>
      </c>
      <c r="B19" s="12"/>
      <c r="C19" s="54">
        <f>C7/'Assumptions'!$B$13</f>
        <v>142.028985507246</v>
      </c>
      <c r="D19" s="54">
        <f>D7/'Assumptions'!$B$13</f>
        <v>147</v>
      </c>
      <c r="E19" s="54">
        <f>E7/'Assumptions'!$B$13</f>
        <v>152.145</v>
      </c>
      <c r="F19" s="54">
        <f>F7/'Assumptions'!$B$13</f>
        <v>156.70935</v>
      </c>
      <c r="G19" s="55">
        <f>G7/'Assumptions'!$B$13</f>
        <v>161.4106305</v>
      </c>
    </row>
    <row r="20" ht="13.65" customHeight="1">
      <c r="A20" t="s" s="34">
        <v>124</v>
      </c>
      <c r="B20" s="12"/>
      <c r="C20" s="54">
        <f>C19*'Assumptions'!$B$24</f>
        <v>540.9884057971</v>
      </c>
      <c r="D20" s="54">
        <f>D19*'Assumptions'!$B$24</f>
        <v>559.923</v>
      </c>
      <c r="E20" s="54">
        <f>E19*'Assumptions'!$B$24</f>
        <v>579.520305</v>
      </c>
      <c r="F20" s="54">
        <f>F19*'Assumptions'!$B$24</f>
        <v>596.9059141499999</v>
      </c>
      <c r="G20" s="55">
        <f>G19*'Assumptions'!$B$24</f>
        <v>614.8130915745</v>
      </c>
    </row>
    <row r="21" ht="13.65" customHeight="1">
      <c r="A21" t="s" s="34">
        <v>125</v>
      </c>
      <c r="B21" s="12"/>
      <c r="C21" s="54">
        <f>C7*'Assumptions'!$B$15</f>
        <v>931</v>
      </c>
      <c r="D21" s="54">
        <f>D7*'Assumptions'!$B$15</f>
        <v>963.585</v>
      </c>
      <c r="E21" s="54">
        <f>E7*'Assumptions'!$B$15</f>
        <v>997.310475</v>
      </c>
      <c r="F21" s="54">
        <f>F7*'Assumptions'!$B$15</f>
        <v>1027.22978925</v>
      </c>
      <c r="G21" s="55">
        <f>G7*'Assumptions'!$B$15</f>
        <v>1058.0466829275</v>
      </c>
    </row>
    <row r="22" ht="13.65" customHeight="1">
      <c r="A22" t="s" s="34">
        <v>126</v>
      </c>
      <c r="B22" s="12"/>
      <c r="C22" s="54">
        <f>C7*'Assumptions'!$B$16</f>
        <v>205.8</v>
      </c>
      <c r="D22" s="54">
        <f>D7*'Assumptions'!$B$16</f>
        <v>213.003</v>
      </c>
      <c r="E22" s="54">
        <f>E7*'Assumptions'!$B$16</f>
        <v>220.458105</v>
      </c>
      <c r="F22" s="54">
        <f>F7*'Assumptions'!$B$16</f>
        <v>227.07184815</v>
      </c>
      <c r="G22" s="55">
        <f>G7*'Assumptions'!$B$16</f>
        <v>233.8840035945</v>
      </c>
    </row>
    <row r="23" ht="13.65" customHeight="1">
      <c r="A23" t="s" s="34">
        <v>127</v>
      </c>
      <c r="B23" s="12"/>
      <c r="C23" s="54">
        <f>C7*'Assumptions'!$B$17</f>
        <v>137.2</v>
      </c>
      <c r="D23" s="54">
        <f>D7*'Assumptions'!$B$17</f>
        <v>142.002</v>
      </c>
      <c r="E23" s="54">
        <f>E7*'Assumptions'!$B$17</f>
        <v>146.97207</v>
      </c>
      <c r="F23" s="54">
        <f>F7*'Assumptions'!$B$17</f>
        <v>151.3812321</v>
      </c>
      <c r="G23" s="55">
        <f>G7*'Assumptions'!$B$17</f>
        <v>155.922669063</v>
      </c>
    </row>
    <row r="24" ht="13.65" customHeight="1">
      <c r="A24" t="s" s="34">
        <v>128</v>
      </c>
      <c r="B24" s="12"/>
      <c r="C24" s="66">
        <f>'Assumptions'!$B$14</f>
        <v>6500</v>
      </c>
      <c r="D24" s="66">
        <f>C24*(1+'Assumptions'!C36)</f>
        <v>6727.5</v>
      </c>
      <c r="E24" s="66">
        <f>D24*(1+'Assumptions'!D36)</f>
        <v>6962.9625</v>
      </c>
      <c r="F24" s="66">
        <f>E24*(1+'Assumptions'!E36)</f>
        <v>7171.851375</v>
      </c>
      <c r="G24" s="67">
        <f>F24*(1+'Assumptions'!F36)</f>
        <v>7387.00691625</v>
      </c>
    </row>
    <row r="25" ht="13.65" customHeight="1">
      <c r="A25" t="s" s="34">
        <v>129</v>
      </c>
      <c r="B25" s="12"/>
      <c r="C25" s="68">
        <f>C24*'Assumptions'!$B$26/1000000</f>
        <v>3.575</v>
      </c>
      <c r="D25" s="68">
        <f>D24*'Assumptions'!$B$26/1000000</f>
        <v>3.700125</v>
      </c>
      <c r="E25" s="68">
        <f>E24*'Assumptions'!$B$26/1000000</f>
        <v>3.829629375</v>
      </c>
      <c r="F25" s="68">
        <f>F24*'Assumptions'!$B$26/1000000</f>
        <v>3.944518256250</v>
      </c>
      <c r="G25" s="69">
        <f>G24*'Assumptions'!$B$26/1000000</f>
        <v>4.0628538039375</v>
      </c>
    </row>
    <row r="26" ht="13.65" customHeight="1">
      <c r="A26" t="s" s="34">
        <v>130</v>
      </c>
      <c r="B26" s="12"/>
      <c r="C26" s="54">
        <f>'Assumptions'!$B$12</f>
        <v>3150</v>
      </c>
      <c r="D26" s="54">
        <f>C26*(1+'Assumptions'!C36)</f>
        <v>3260.25</v>
      </c>
      <c r="E26" s="54">
        <f>D26*(1+'Assumptions'!D36)</f>
        <v>3374.35875</v>
      </c>
      <c r="F26" s="54">
        <f>E26*(1+'Assumptions'!E36)</f>
        <v>3475.5895125</v>
      </c>
      <c r="G26" s="55">
        <f>F26*(1+'Assumptions'!F36)</f>
        <v>3579.857197875</v>
      </c>
    </row>
    <row r="27" ht="13.65" customHeight="1">
      <c r="A27" t="s" s="34">
        <v>131</v>
      </c>
      <c r="B27" s="12"/>
      <c r="C27" s="54">
        <f>C26/17.2207</f>
        <v>182.919393520589</v>
      </c>
      <c r="D27" s="54">
        <f>D26/17.2207</f>
        <v>189.321572293809</v>
      </c>
      <c r="E27" s="54">
        <f>E26/17.2207</f>
        <v>195.947827324093</v>
      </c>
      <c r="F27" s="54">
        <f>F26/17.2207</f>
        <v>201.826262143815</v>
      </c>
      <c r="G27" s="55">
        <f>G26/17.2207</f>
        <v>207.881050008130</v>
      </c>
    </row>
    <row r="28" ht="13.65" customHeight="1">
      <c r="A28" t="s" s="59">
        <v>132</v>
      </c>
      <c r="B28" s="12"/>
      <c r="C28" s="60">
        <f>C16*'Assumptions'!$B$18</f>
        <v>379.273802816902</v>
      </c>
      <c r="D28" s="60">
        <f>D16*'Assumptions'!$B$18</f>
        <v>401.246008415493</v>
      </c>
      <c r="E28" s="60">
        <f>E16*'Assumptions'!$B$18</f>
        <v>424.516708979723</v>
      </c>
      <c r="F28" s="60">
        <f>F16*'Assumptions'!$B$18</f>
        <v>445.045410690894</v>
      </c>
      <c r="G28" s="61">
        <f>G16*'Assumptions'!$B$18</f>
        <v>466.584309395750</v>
      </c>
    </row>
    <row r="29" ht="13.65" customHeight="1">
      <c r="A29" t="s" s="70">
        <v>133</v>
      </c>
      <c r="B29" s="12"/>
      <c r="C29" s="71">
        <f>C20+C21+C22+C23+C25+C27+C28</f>
        <v>2380.756602134590</v>
      </c>
      <c r="D29" s="71">
        <f>D20+D21+D22+D23+D25+D27+D28</f>
        <v>2472.7807057093</v>
      </c>
      <c r="E29" s="71">
        <f>E20+E21+E22+E23+E25+E27+E28</f>
        <v>2568.555120678820</v>
      </c>
      <c r="F29" s="71">
        <f>F20+F21+F22+F23+F25+F27+F28</f>
        <v>2653.404974740960</v>
      </c>
      <c r="G29" s="72">
        <f>G20+G21+G22+G23+G25+G27+G28</f>
        <v>2741.194660367320</v>
      </c>
    </row>
    <row r="30" ht="13.65" customHeight="1">
      <c r="A30" t="s" s="62">
        <v>134</v>
      </c>
      <c r="B30" s="12"/>
      <c r="C30" s="73">
        <f>C15-C29</f>
        <v>683.616489414710</v>
      </c>
      <c r="D30" s="73">
        <f>D15-D29</f>
        <v>760.971319044220</v>
      </c>
      <c r="E30" s="73">
        <f>E15-E29</f>
        <v>844.2860125817</v>
      </c>
      <c r="F30" s="73">
        <f>F15-F29</f>
        <v>917.487109958650</v>
      </c>
      <c r="G30" s="74">
        <f>G15-G29</f>
        <v>995.306589617070</v>
      </c>
    </row>
    <row r="31" ht="13.65" customHeight="1">
      <c r="A31" t="s" s="34">
        <v>135</v>
      </c>
      <c r="B31" s="12"/>
      <c r="C31" s="75">
        <f>C30/C15</f>
        <v>0.223085267032248</v>
      </c>
      <c r="D31" s="75">
        <f>D30/D15</f>
        <v>0.235321482049083</v>
      </c>
      <c r="E31" s="75">
        <f>E30/E15</f>
        <v>0.247385090490601</v>
      </c>
      <c r="F31" s="75">
        <f>F30/F15</f>
        <v>0.256934986607368</v>
      </c>
      <c r="G31" s="76">
        <f>G30/G15</f>
        <v>0.266373947987098</v>
      </c>
    </row>
    <row r="32" ht="13.65" customHeight="1">
      <c r="A32" t="s" s="59">
        <v>136</v>
      </c>
      <c r="B32" s="12"/>
      <c r="C32" s="60">
        <f>C16*'Assumptions'!$B$19</f>
        <v>243.818873239437</v>
      </c>
      <c r="D32" s="60">
        <f>D16*'Assumptions'!$B$19</f>
        <v>257.943862552817</v>
      </c>
      <c r="E32" s="60">
        <f>E16*'Assumptions'!$B$19</f>
        <v>272.903598629822</v>
      </c>
      <c r="F32" s="60">
        <f>F16*'Assumptions'!$B$19</f>
        <v>286.100621158432</v>
      </c>
      <c r="G32" s="61">
        <f>G16*'Assumptions'!$B$19</f>
        <v>299.947056040125</v>
      </c>
    </row>
    <row r="33" ht="13.65" customHeight="1">
      <c r="A33" t="s" s="62">
        <v>137</v>
      </c>
      <c r="B33" s="12"/>
      <c r="C33" s="64">
        <f>C30-C32</f>
        <v>439.797616175273</v>
      </c>
      <c r="D33" s="64">
        <f>D30-D32</f>
        <v>503.027456491403</v>
      </c>
      <c r="E33" s="64">
        <f>E30-E32</f>
        <v>571.382413951878</v>
      </c>
      <c r="F33" s="64">
        <f>F30-F32</f>
        <v>631.386488800218</v>
      </c>
      <c r="G33" s="65">
        <f>G30-G32</f>
        <v>695.359533576945</v>
      </c>
    </row>
    <row r="34" ht="13.55" customHeight="1">
      <c r="A34" s="10"/>
      <c r="B34" s="12"/>
      <c r="C34" s="12"/>
      <c r="D34" s="12"/>
      <c r="E34" s="12"/>
      <c r="F34" s="12"/>
      <c r="G34" s="13"/>
    </row>
    <row r="35" ht="13.65" customHeight="1">
      <c r="A35" t="s" s="58">
        <v>90</v>
      </c>
      <c r="B35" s="12"/>
      <c r="C35" s="12"/>
      <c r="D35" s="12"/>
      <c r="E35" s="12"/>
      <c r="F35" s="12"/>
      <c r="G35" s="13"/>
    </row>
    <row r="36" ht="13.65" customHeight="1">
      <c r="A36" t="s" s="34">
        <v>138</v>
      </c>
      <c r="B36" s="12"/>
      <c r="C36" s="54">
        <f>'Assumptions'!$B$30</f>
        <v>1100</v>
      </c>
      <c r="D36" s="54">
        <f>C37</f>
        <v>990</v>
      </c>
      <c r="E36" s="54">
        <f>D37</f>
        <v>880</v>
      </c>
      <c r="F36" s="54">
        <f>E37</f>
        <v>770</v>
      </c>
      <c r="G36" s="55">
        <f>F37</f>
        <v>660</v>
      </c>
    </row>
    <row r="37" ht="13.65" customHeight="1">
      <c r="A37" t="s" s="34">
        <v>139</v>
      </c>
      <c r="B37" s="12"/>
      <c r="C37" s="54">
        <f>MAX(C36-'Assumptions'!$B$30*'Assumptions'!$B$31,0)</f>
        <v>990</v>
      </c>
      <c r="D37" s="54">
        <f>MAX(D36-'Assumptions'!$B$30*'Assumptions'!$B$31,0)</f>
        <v>880</v>
      </c>
      <c r="E37" s="54">
        <f>MAX(E36-'Assumptions'!$B$30*'Assumptions'!$B$31,0)</f>
        <v>770</v>
      </c>
      <c r="F37" s="54">
        <f>MAX(F36-'Assumptions'!$B$30*'Assumptions'!$B$31,0)</f>
        <v>660</v>
      </c>
      <c r="G37" s="55">
        <f>MAX(G36-'Assumptions'!$B$30*'Assumptions'!$B$31,0)</f>
        <v>550</v>
      </c>
    </row>
    <row r="38" ht="13.65" customHeight="1">
      <c r="A38" t="s" s="34">
        <v>140</v>
      </c>
      <c r="B38" s="12"/>
      <c r="C38" s="77">
        <f>0.0368+'Assumptions'!$B$32</f>
        <v>0.0553</v>
      </c>
      <c r="D38" s="77">
        <f>0.0368+'Assumptions'!$B$32</f>
        <v>0.0553</v>
      </c>
      <c r="E38" s="77">
        <f>0.0368+'Assumptions'!$B$32</f>
        <v>0.0553</v>
      </c>
      <c r="F38" s="77">
        <f>0.0368+'Assumptions'!$B$32</f>
        <v>0.0553</v>
      </c>
      <c r="G38" s="78">
        <f>0.0368+'Assumptions'!$B$32</f>
        <v>0.0553</v>
      </c>
    </row>
    <row r="39" ht="13.65" customHeight="1">
      <c r="A39" t="s" s="59">
        <v>141</v>
      </c>
      <c r="B39" s="12"/>
      <c r="C39" s="60">
        <f>AVERAGE(C36,C37)*C38</f>
        <v>57.7885</v>
      </c>
      <c r="D39" s="60">
        <f>AVERAGE(D36,D37)*D38</f>
        <v>51.7055</v>
      </c>
      <c r="E39" s="60">
        <f>AVERAGE(E36,E37)*E38</f>
        <v>45.6225</v>
      </c>
      <c r="F39" s="60">
        <f>AVERAGE(F36,F37)*F38</f>
        <v>39.5395</v>
      </c>
      <c r="G39" s="61">
        <f>AVERAGE(G36,G37)*G38</f>
        <v>33.4565</v>
      </c>
    </row>
    <row r="40" ht="13.65" customHeight="1">
      <c r="A40" t="s" s="79">
        <v>142</v>
      </c>
      <c r="B40" s="12"/>
      <c r="C40" s="80">
        <f>C33-C39</f>
        <v>382.009116175273</v>
      </c>
      <c r="D40" s="80">
        <f>D33-D39</f>
        <v>451.321956491403</v>
      </c>
      <c r="E40" s="80">
        <f>E33-E39</f>
        <v>525.759913951878</v>
      </c>
      <c r="F40" s="80">
        <f>F33-F39</f>
        <v>591.846988800218</v>
      </c>
      <c r="G40" s="81">
        <f>G33-G39</f>
        <v>661.9030335769449</v>
      </c>
    </row>
    <row r="41" ht="13.65" customHeight="1">
      <c r="A41" t="s" s="59">
        <v>143</v>
      </c>
      <c r="B41" s="12"/>
      <c r="C41" s="60">
        <f>MAX(C40,0)*'Assumptions'!$B$27</f>
        <v>80.22191439680731</v>
      </c>
      <c r="D41" s="60">
        <f>MAX(D40,0)*'Assumptions'!$B$27</f>
        <v>94.7776108631946</v>
      </c>
      <c r="E41" s="60">
        <f>MAX(E40,0)*'Assumptions'!$B$27</f>
        <v>110.409581929894</v>
      </c>
      <c r="F41" s="60">
        <f>MAX(F40,0)*'Assumptions'!$B$27</f>
        <v>124.287867648046</v>
      </c>
      <c r="G41" s="61">
        <f>MAX(G40,0)*'Assumptions'!$B$27</f>
        <v>138.999637051158</v>
      </c>
    </row>
    <row r="42" ht="13.65" customHeight="1">
      <c r="A42" t="s" s="82">
        <v>144</v>
      </c>
      <c r="B42" s="25"/>
      <c r="C42" s="83">
        <f>C40-C41</f>
        <v>301.787201778466</v>
      </c>
      <c r="D42" s="83">
        <f>D40-D41</f>
        <v>356.544345628208</v>
      </c>
      <c r="E42" s="83">
        <f>E40-E41</f>
        <v>415.350332021984</v>
      </c>
      <c r="F42" s="83">
        <f>F40-F41</f>
        <v>467.559121152172</v>
      </c>
      <c r="G42" s="84">
        <f>G40-G41</f>
        <v>522.903396525787</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H42"/>
  <sheetViews>
    <sheetView workbookViewId="0" showGridLines="0" defaultGridColor="1"/>
  </sheetViews>
  <sheetFormatPr defaultColWidth="8.83333" defaultRowHeight="15" customHeight="1" outlineLevelRow="0" outlineLevelCol="0"/>
  <cols>
    <col min="1" max="1" width="46" style="85" customWidth="1"/>
    <col min="2" max="7" width="12" style="85" customWidth="1"/>
    <col min="8" max="8" width="62" style="85" customWidth="1"/>
    <col min="9" max="16384" width="8.85156" style="85" customWidth="1"/>
  </cols>
  <sheetData>
    <row r="1" ht="18.5" customHeight="1">
      <c r="A1" t="s" s="28">
        <v>145</v>
      </c>
      <c r="B1" s="8"/>
      <c r="C1" s="8"/>
      <c r="D1" s="8"/>
      <c r="E1" s="8"/>
      <c r="F1" s="8"/>
      <c r="G1" s="8"/>
      <c r="H1" s="9"/>
    </row>
    <row r="2" ht="13.65" customHeight="1">
      <c r="A2" t="s" s="29">
        <v>146</v>
      </c>
      <c r="B2" s="12"/>
      <c r="C2" s="12"/>
      <c r="D2" s="12"/>
      <c r="E2" s="12"/>
      <c r="F2" s="12"/>
      <c r="G2" s="12"/>
      <c r="H2" s="13"/>
    </row>
    <row r="3" ht="13.55" customHeight="1">
      <c r="A3" s="10"/>
      <c r="B3" s="12"/>
      <c r="C3" s="12"/>
      <c r="D3" s="12"/>
      <c r="E3" s="12"/>
      <c r="F3" s="12"/>
      <c r="G3" s="12"/>
      <c r="H3" s="13"/>
    </row>
    <row r="4" ht="13.65" customHeight="1">
      <c r="A4" t="s" s="30">
        <v>147</v>
      </c>
      <c r="B4" s="32"/>
      <c r="C4" s="32"/>
      <c r="D4" s="32"/>
      <c r="E4" s="32"/>
      <c r="F4" s="32"/>
      <c r="G4" s="32"/>
      <c r="H4" t="s" s="33">
        <v>39</v>
      </c>
    </row>
    <row r="5" ht="13.65" customHeight="1">
      <c r="A5" t="s" s="34">
        <v>148</v>
      </c>
      <c r="B5" s="86">
        <f>DATE(2026,3,1)</f>
        <v>46082</v>
      </c>
      <c r="C5" s="12"/>
      <c r="D5" s="12"/>
      <c r="E5" s="12"/>
      <c r="F5" s="12"/>
      <c r="G5" s="12"/>
      <c r="H5" t="s" s="36">
        <v>8</v>
      </c>
    </row>
    <row r="6" ht="13.65" customHeight="1">
      <c r="A6" t="s" s="34">
        <v>149</v>
      </c>
      <c r="B6" s="44">
        <v>0.05</v>
      </c>
      <c r="C6" s="12"/>
      <c r="D6" s="12"/>
      <c r="E6" s="12"/>
      <c r="F6" s="12"/>
      <c r="G6" s="12"/>
      <c r="H6" t="s" s="36">
        <v>150</v>
      </c>
    </row>
    <row r="7" ht="13.65" customHeight="1">
      <c r="A7" t="s" s="34">
        <v>151</v>
      </c>
      <c r="B7" s="87">
        <v>1.2</v>
      </c>
      <c r="C7" s="12"/>
      <c r="D7" s="12"/>
      <c r="E7" s="12"/>
      <c r="F7" s="12"/>
      <c r="G7" s="12"/>
      <c r="H7" t="s" s="36">
        <v>152</v>
      </c>
    </row>
    <row r="8" ht="13.65" customHeight="1">
      <c r="A8" t="s" s="34">
        <v>153</v>
      </c>
      <c r="B8" s="44">
        <v>0.01</v>
      </c>
      <c r="C8" s="12"/>
      <c r="D8" s="12"/>
      <c r="E8" s="12"/>
      <c r="F8" s="12"/>
      <c r="G8" s="12"/>
      <c r="H8" t="s" s="36">
        <v>150</v>
      </c>
    </row>
    <row r="9" ht="13.65" customHeight="1">
      <c r="A9" t="s" s="34">
        <v>154</v>
      </c>
      <c r="B9" s="77">
        <f>0.0397+B7*B6+B8</f>
        <v>0.1097</v>
      </c>
      <c r="C9" s="12"/>
      <c r="D9" s="12"/>
      <c r="E9" s="12"/>
      <c r="F9" s="12"/>
      <c r="G9" s="12"/>
      <c r="H9" t="s" s="36">
        <v>155</v>
      </c>
    </row>
    <row r="10" ht="13.65" customHeight="1">
      <c r="A10" t="s" s="34">
        <v>156</v>
      </c>
      <c r="B10" s="88">
        <f>'P&amp;L'!C38</f>
        <v>0.0553</v>
      </c>
      <c r="C10" s="12"/>
      <c r="D10" s="12"/>
      <c r="E10" s="12"/>
      <c r="F10" s="12"/>
      <c r="G10" s="12"/>
      <c r="H10" t="s" s="36">
        <v>157</v>
      </c>
    </row>
    <row r="11" ht="13.65" customHeight="1">
      <c r="A11" t="s" s="34">
        <v>158</v>
      </c>
      <c r="B11" s="52">
        <f>'Assumptions'!B27</f>
        <v>0.21</v>
      </c>
      <c r="C11" s="12"/>
      <c r="D11" s="12"/>
      <c r="E11" s="12"/>
      <c r="F11" s="12"/>
      <c r="G11" s="12"/>
      <c r="H11" s="89"/>
    </row>
    <row r="12" ht="13.65" customHeight="1">
      <c r="A12" t="s" s="34">
        <v>159</v>
      </c>
      <c r="B12" s="77">
        <f>B10*(1-B11)</f>
        <v>0.043687</v>
      </c>
      <c r="C12" s="12"/>
      <c r="D12" s="12"/>
      <c r="E12" s="12"/>
      <c r="F12" s="12"/>
      <c r="G12" s="12"/>
      <c r="H12" s="89"/>
    </row>
    <row r="13" ht="13.65" customHeight="1">
      <c r="A13" t="s" s="34">
        <v>160</v>
      </c>
      <c r="B13" s="38">
        <v>0.35</v>
      </c>
      <c r="C13" s="12"/>
      <c r="D13" s="12"/>
      <c r="E13" s="12"/>
      <c r="F13" s="12"/>
      <c r="G13" s="12"/>
      <c r="H13" t="s" s="36">
        <v>161</v>
      </c>
    </row>
    <row r="14" ht="13.65" customHeight="1">
      <c r="A14" t="s" s="58">
        <v>162</v>
      </c>
      <c r="B14" s="90">
        <f>B9*(1-B13)+B12*B13</f>
        <v>0.08659545</v>
      </c>
      <c r="C14" s="12"/>
      <c r="D14" s="12"/>
      <c r="E14" s="12"/>
      <c r="F14" s="12"/>
      <c r="G14" s="12"/>
      <c r="H14" s="89"/>
    </row>
    <row r="15" ht="13.65" customHeight="1">
      <c r="A15" t="s" s="34">
        <v>163</v>
      </c>
      <c r="B15" s="38">
        <v>0.025</v>
      </c>
      <c r="C15" s="12"/>
      <c r="D15" s="12"/>
      <c r="E15" s="12"/>
      <c r="F15" s="12"/>
      <c r="G15" s="12"/>
      <c r="H15" t="s" s="36">
        <v>164</v>
      </c>
    </row>
    <row r="16" ht="13.55" customHeight="1">
      <c r="A16" s="10"/>
      <c r="B16" s="12"/>
      <c r="C16" s="12"/>
      <c r="D16" s="12"/>
      <c r="E16" s="12"/>
      <c r="F16" s="12"/>
      <c r="G16" s="12"/>
      <c r="H16" s="13"/>
    </row>
    <row r="17" ht="13.65" customHeight="1">
      <c r="A17" t="s" s="30">
        <v>165</v>
      </c>
      <c r="B17" s="32"/>
      <c r="C17" t="s" s="45">
        <v>100</v>
      </c>
      <c r="D17" t="s" s="45">
        <v>101</v>
      </c>
      <c r="E17" t="s" s="45">
        <v>102</v>
      </c>
      <c r="F17" t="s" s="45">
        <v>103</v>
      </c>
      <c r="G17" t="s" s="45">
        <v>104</v>
      </c>
      <c r="H17" s="40"/>
    </row>
    <row r="18" ht="13.65" customHeight="1">
      <c r="A18" t="s" s="34">
        <v>166</v>
      </c>
      <c r="B18" s="12"/>
      <c r="C18" s="86">
        <f>DATE(2026,12,31)</f>
        <v>46387</v>
      </c>
      <c r="D18" s="86">
        <f>DATE(YEAR(C18)+1,12,31)</f>
        <v>46752</v>
      </c>
      <c r="E18" s="86">
        <f>DATE(YEAR(D18)+1,12,31)</f>
        <v>47118</v>
      </c>
      <c r="F18" s="86">
        <f>DATE(YEAR(E18)+1,12,31)</f>
        <v>47483</v>
      </c>
      <c r="G18" s="86">
        <f>DATE(YEAR(F18)+1,12,31)</f>
        <v>47848</v>
      </c>
      <c r="H18" s="13"/>
    </row>
    <row r="19" ht="13.65" customHeight="1">
      <c r="A19" t="s" s="34">
        <v>134</v>
      </c>
      <c r="B19" s="12"/>
      <c r="C19" s="91">
        <f>'P&amp;L'!C30</f>
        <v>683.616489414710</v>
      </c>
      <c r="D19" s="91">
        <f>'P&amp;L'!D30</f>
        <v>760.971319044220</v>
      </c>
      <c r="E19" s="91">
        <f>'P&amp;L'!E30</f>
        <v>844.2860125817</v>
      </c>
      <c r="F19" s="91">
        <f>'P&amp;L'!F30</f>
        <v>917.487109958650</v>
      </c>
      <c r="G19" s="91">
        <f>'P&amp;L'!G30</f>
        <v>995.306589617070</v>
      </c>
      <c r="H19" s="13"/>
    </row>
    <row r="20" ht="13.65" customHeight="1">
      <c r="A20" t="s" s="59">
        <v>167</v>
      </c>
      <c r="B20" s="12"/>
      <c r="C20" s="92">
        <f>-'P&amp;L'!C32</f>
        <v>-243.818873239437</v>
      </c>
      <c r="D20" s="92">
        <f>-'P&amp;L'!D32</f>
        <v>-257.943862552817</v>
      </c>
      <c r="E20" s="92">
        <f>-'P&amp;L'!E32</f>
        <v>-272.903598629822</v>
      </c>
      <c r="F20" s="92">
        <f>-'P&amp;L'!F32</f>
        <v>-286.100621158432</v>
      </c>
      <c r="G20" s="92">
        <f>-'P&amp;L'!G32</f>
        <v>-299.947056040125</v>
      </c>
      <c r="H20" s="13"/>
    </row>
    <row r="21" ht="13.65" customHeight="1">
      <c r="A21" t="s" s="79">
        <v>137</v>
      </c>
      <c r="B21" s="12"/>
      <c r="C21" s="80">
        <f>C19+C20</f>
        <v>439.797616175273</v>
      </c>
      <c r="D21" s="80">
        <f>D19+D20</f>
        <v>503.027456491403</v>
      </c>
      <c r="E21" s="80">
        <f>E19+E20</f>
        <v>571.382413951878</v>
      </c>
      <c r="F21" s="80">
        <f>F19+F20</f>
        <v>631.386488800218</v>
      </c>
      <c r="G21" s="80">
        <f>G19+G20</f>
        <v>695.359533576945</v>
      </c>
      <c r="H21" s="13"/>
    </row>
    <row r="22" ht="13.65" customHeight="1">
      <c r="A22" t="s" s="34">
        <v>168</v>
      </c>
      <c r="B22" s="12"/>
      <c r="C22" s="54">
        <f>-MAX(C21,0)*$B$11</f>
        <v>-92.3574993968073</v>
      </c>
      <c r="D22" s="54">
        <f>-MAX(D21,0)*$B$11</f>
        <v>-105.635765863195</v>
      </c>
      <c r="E22" s="54">
        <f>-MAX(E21,0)*$B$11</f>
        <v>-119.990306929894</v>
      </c>
      <c r="F22" s="54">
        <f>-MAX(F21,0)*$B$11</f>
        <v>-132.591162648046</v>
      </c>
      <c r="G22" s="54">
        <f>-MAX(G21,0)*$B$11</f>
        <v>-146.025502051158</v>
      </c>
      <c r="H22" s="13"/>
    </row>
    <row r="23" ht="13.65" customHeight="1">
      <c r="A23" t="s" s="34">
        <v>169</v>
      </c>
      <c r="B23" s="12"/>
      <c r="C23" s="54">
        <f>-C20</f>
        <v>243.818873239437</v>
      </c>
      <c r="D23" s="54">
        <f>-D20</f>
        <v>257.943862552817</v>
      </c>
      <c r="E23" s="54">
        <f>-E20</f>
        <v>272.903598629822</v>
      </c>
      <c r="F23" s="54">
        <f>-F20</f>
        <v>286.100621158432</v>
      </c>
      <c r="G23" s="54">
        <f>-G20</f>
        <v>299.947056040125</v>
      </c>
      <c r="H23" s="13"/>
    </row>
    <row r="24" ht="13.65" customHeight="1">
      <c r="A24" t="s" s="34">
        <v>170</v>
      </c>
      <c r="B24" s="12"/>
      <c r="C24" s="54">
        <f>-'P&amp;L'!C16*'Assumptions'!$B$20</f>
        <v>-298.000845070423</v>
      </c>
      <c r="D24" s="54">
        <f>-'P&amp;L'!D16*'Assumptions'!$B$20</f>
        <v>-315.264720897887</v>
      </c>
      <c r="E24" s="54">
        <f>-'P&amp;L'!E16*'Assumptions'!$B$20</f>
        <v>-333.548842769782</v>
      </c>
      <c r="F24" s="54">
        <f>-'P&amp;L'!F16*'Assumptions'!$B$20</f>
        <v>-349.678536971416</v>
      </c>
      <c r="G24" s="54">
        <f>-'P&amp;L'!G16*'Assumptions'!$B$20</f>
        <v>-366.601957382375</v>
      </c>
      <c r="H24" s="13"/>
    </row>
    <row r="25" ht="13.65" customHeight="1">
      <c r="A25" t="s" s="59">
        <v>171</v>
      </c>
      <c r="B25" s="12"/>
      <c r="C25" s="60">
        <f>-('P&amp;L'!C15-'P&amp;L'!B15)*'Assumptions'!$B$21</f>
        <v>-0.862385492958</v>
      </c>
      <c r="D25" s="60">
        <f>-('P&amp;L'!D15-'P&amp;L'!C15)*'Assumptions'!$B$21</f>
        <v>-10.1627359922532</v>
      </c>
      <c r="E25" s="60">
        <f>-('P&amp;L'!E15-'P&amp;L'!D15)*'Assumptions'!$B$21</f>
        <v>-10.745346510420</v>
      </c>
      <c r="F25" s="60">
        <f>-('P&amp;L'!F15-'P&amp;L'!E15)*'Assumptions'!$B$21</f>
        <v>-9.483057086345401</v>
      </c>
      <c r="G25" s="60">
        <f>-('P&amp;L'!G15-'P&amp;L'!F15)*'Assumptions'!$B$21</f>
        <v>-9.936549917086801</v>
      </c>
      <c r="H25" s="13"/>
    </row>
    <row r="26" ht="13.65" customHeight="1">
      <c r="A26" t="s" s="62">
        <v>165</v>
      </c>
      <c r="B26" s="12"/>
      <c r="C26" s="64">
        <f>SUM(C21:C25)</f>
        <v>292.395759454522</v>
      </c>
      <c r="D26" s="64">
        <f>SUM(D21:D25)</f>
        <v>329.908096290885</v>
      </c>
      <c r="E26" s="64">
        <f>SUM(E21:E25)</f>
        <v>380.001516371604</v>
      </c>
      <c r="F26" s="64">
        <f>SUM(F21:F25)</f>
        <v>425.734353252843</v>
      </c>
      <c r="G26" s="64">
        <f>SUM(G21:G25)</f>
        <v>472.742580266450</v>
      </c>
      <c r="H26" s="13"/>
    </row>
    <row r="27" ht="13.65" customHeight="1">
      <c r="A27" t="s" s="34">
        <v>172</v>
      </c>
      <c r="B27" s="12"/>
      <c r="C27" s="75">
        <f>MIN(1,(C18-$B$5)/365)</f>
        <v>0.8356164383561639</v>
      </c>
      <c r="D27" s="75">
        <f>MIN(1,(D18-$B$5)/365)</f>
        <v>1</v>
      </c>
      <c r="E27" s="75">
        <f>MIN(1,(E18-$B$5)/365)</f>
        <v>1</v>
      </c>
      <c r="F27" s="75">
        <f>MIN(1,(F18-$B$5)/365)</f>
        <v>1</v>
      </c>
      <c r="G27" s="75">
        <f>MIN(1,(G18-$B$5)/365)</f>
        <v>1</v>
      </c>
      <c r="H27" s="13"/>
    </row>
    <row r="28" ht="13.65" customHeight="1">
      <c r="A28" t="s" s="34">
        <v>173</v>
      </c>
      <c r="B28" s="12"/>
      <c r="C28" s="54">
        <f>C26*C27</f>
        <v>244.330703105833</v>
      </c>
      <c r="D28" s="54">
        <f>D26*D27</f>
        <v>329.908096290885</v>
      </c>
      <c r="E28" s="54">
        <f>E26*E27</f>
        <v>380.001516371604</v>
      </c>
      <c r="F28" s="54">
        <f>F26*F27</f>
        <v>425.734353252843</v>
      </c>
      <c r="G28" s="54">
        <f>G26*G27</f>
        <v>472.742580266450</v>
      </c>
      <c r="H28" s="13"/>
    </row>
    <row r="29" ht="13.65" customHeight="1">
      <c r="A29" t="s" s="34">
        <v>174</v>
      </c>
      <c r="B29" s="12"/>
      <c r="C29" s="93">
        <f>(C18-$B$5)/365</f>
        <v>0.8356164383561639</v>
      </c>
      <c r="D29" s="93">
        <f>(D18-$B$5)/365</f>
        <v>1.83561643835616</v>
      </c>
      <c r="E29" s="93">
        <f>(E18-$B$5)/365</f>
        <v>2.83835616438356</v>
      </c>
      <c r="F29" s="93">
        <f>(F18-$B$5)/365</f>
        <v>3.83835616438356</v>
      </c>
      <c r="G29" s="93">
        <f>(G18-$B$5)/365</f>
        <v>4.83835616438356</v>
      </c>
      <c r="H29" s="13"/>
    </row>
    <row r="30" ht="13.65" customHeight="1">
      <c r="A30" t="s" s="34">
        <v>175</v>
      </c>
      <c r="B30" s="12"/>
      <c r="C30" s="94">
        <f>1/(1+$B$14)^C29</f>
        <v>0.932955833987208</v>
      </c>
      <c r="D30" s="94">
        <f>1/(1+$B$14)^D29</f>
        <v>0.85860458369047</v>
      </c>
      <c r="E30" s="94">
        <f>1/(1+$B$14)^E29</f>
        <v>0.789998932403423</v>
      </c>
      <c r="F30" s="94">
        <f>1/(1+$B$14)^F29</f>
        <v>0.7270405304968131</v>
      </c>
      <c r="G30" s="94">
        <f>1/(1+$B$14)^G29</f>
        <v>0.669099553561367</v>
      </c>
      <c r="H30" s="13"/>
    </row>
    <row r="31" ht="13.65" customHeight="1">
      <c r="A31" t="s" s="58">
        <v>176</v>
      </c>
      <c r="B31" s="12"/>
      <c r="C31" s="95">
        <f>C28*C30</f>
        <v>227.949754884783</v>
      </c>
      <c r="D31" s="95">
        <f>D28*D30</f>
        <v>283.260603671951</v>
      </c>
      <c r="E31" s="95">
        <f>E28*E30</f>
        <v>300.200792245249</v>
      </c>
      <c r="F31" s="95">
        <f>F28*F30</f>
        <v>309.526130039665</v>
      </c>
      <c r="G31" s="95">
        <f>G28*G30</f>
        <v>316.311849405730</v>
      </c>
      <c r="H31" s="13"/>
    </row>
    <row r="32" ht="13.55" customHeight="1">
      <c r="A32" s="10"/>
      <c r="B32" s="12"/>
      <c r="C32" s="12"/>
      <c r="D32" s="12"/>
      <c r="E32" s="12"/>
      <c r="F32" s="12"/>
      <c r="G32" s="12"/>
      <c r="H32" s="13"/>
    </row>
    <row r="33" ht="13.65" customHeight="1">
      <c r="A33" t="s" s="30">
        <v>177</v>
      </c>
      <c r="B33" s="32"/>
      <c r="C33" s="32"/>
      <c r="D33" s="32"/>
      <c r="E33" s="32"/>
      <c r="F33" s="32"/>
      <c r="G33" s="32"/>
      <c r="H33" s="40"/>
    </row>
    <row r="34" ht="13.65" customHeight="1">
      <c r="A34" t="s" s="34">
        <v>178</v>
      </c>
      <c r="B34" s="54">
        <f>SUM(C31:G31)</f>
        <v>1437.249130247380</v>
      </c>
      <c r="C34" s="12"/>
      <c r="D34" s="12"/>
      <c r="E34" s="12"/>
      <c r="F34" s="12"/>
      <c r="G34" s="12"/>
      <c r="H34" s="13"/>
    </row>
    <row r="35" ht="13.65" customHeight="1">
      <c r="A35" t="s" s="34">
        <v>179</v>
      </c>
      <c r="B35" s="54">
        <f>G26*(1+B15)/(B14-B15)</f>
        <v>7866.833423136140</v>
      </c>
      <c r="C35" s="12"/>
      <c r="D35" s="12"/>
      <c r="E35" s="12"/>
      <c r="F35" s="12"/>
      <c r="G35" s="12"/>
      <c r="H35" s="13"/>
    </row>
    <row r="36" ht="13.65" customHeight="1">
      <c r="A36" t="s" s="34">
        <v>180</v>
      </c>
      <c r="B36" s="54">
        <f>B35*G30</f>
        <v>5263.694731362030</v>
      </c>
      <c r="C36" s="12"/>
      <c r="D36" s="12"/>
      <c r="E36" s="12"/>
      <c r="F36" s="12"/>
      <c r="G36" s="12"/>
      <c r="H36" s="13"/>
    </row>
    <row r="37" ht="13.65" customHeight="1">
      <c r="A37" t="s" s="58">
        <v>181</v>
      </c>
      <c r="B37" s="96">
        <f>B34+B36</f>
        <v>6700.943861609410</v>
      </c>
      <c r="C37" s="12"/>
      <c r="D37" s="12"/>
      <c r="E37" s="12"/>
      <c r="F37" s="12"/>
      <c r="G37" s="12"/>
      <c r="H37" s="13"/>
    </row>
    <row r="38" ht="13.65" customHeight="1">
      <c r="A38" t="s" s="34">
        <v>182</v>
      </c>
      <c r="B38" s="91">
        <f>-'Assumptions'!B30</f>
        <v>-1100</v>
      </c>
      <c r="C38" s="12"/>
      <c r="D38" s="12"/>
      <c r="E38" s="12"/>
      <c r="F38" s="12"/>
      <c r="G38" s="12"/>
      <c r="H38" t="s" s="36">
        <v>183</v>
      </c>
    </row>
    <row r="39" ht="13.65" customHeight="1">
      <c r="A39" t="s" s="34">
        <v>184</v>
      </c>
      <c r="B39" s="91">
        <f>'Assumptions'!B33</f>
        <v>140</v>
      </c>
      <c r="C39" s="12"/>
      <c r="D39" s="12"/>
      <c r="E39" s="12"/>
      <c r="F39" s="12"/>
      <c r="G39" s="12"/>
      <c r="H39" s="13"/>
    </row>
    <row r="40" ht="13.65" customHeight="1">
      <c r="A40" t="s" s="58">
        <v>185</v>
      </c>
      <c r="B40" s="96">
        <f>SUM(B37:B39)</f>
        <v>5740.943861609410</v>
      </c>
      <c r="C40" s="12"/>
      <c r="D40" s="12"/>
      <c r="E40" s="12"/>
      <c r="F40" s="12"/>
      <c r="G40" s="12"/>
      <c r="H40" s="13"/>
    </row>
    <row r="41" ht="13.65" customHeight="1">
      <c r="A41" t="s" s="34">
        <v>186</v>
      </c>
      <c r="B41" s="97">
        <f>B37/'P&amp;L'!C30</f>
        <v>9.802197526491121</v>
      </c>
      <c r="C41" s="12"/>
      <c r="D41" s="12"/>
      <c r="E41" s="12"/>
      <c r="F41" s="12"/>
      <c r="G41" s="12"/>
      <c r="H41" s="13"/>
    </row>
    <row r="42" ht="13.65" customHeight="1">
      <c r="A42" t="s" s="46">
        <v>187</v>
      </c>
      <c r="B42" s="98">
        <f>B36/B37</f>
        <v>0.785515419927397</v>
      </c>
      <c r="C42" s="25"/>
      <c r="D42" s="25"/>
      <c r="E42" s="25"/>
      <c r="F42" s="25"/>
      <c r="G42" s="25"/>
      <c r="H42" s="26"/>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dc:creator>Keystone Freight Lines FP&amp;A</dc:creator>
  <dc:title>Keystone Freight Lines, Inc. - Operating Model &amp; DCF</dc:title>
  <dcterms:created xsi:type="dcterms:W3CDTF">2026-03-01T09:30:00Z</dcterms:created>
  <dcterms:modified xsi:type="dcterms:W3CDTF">2026-10-10T22:51:45Z</dcterms:modified>
</cp:coreProperties>
</file>