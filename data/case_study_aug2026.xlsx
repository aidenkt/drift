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P&amp;L" sheetId="3" state="visible" r:id="rId3"/>
    <sheet name="DCF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 h:mm:ss"/>
    <numFmt numFmtId="165" formatCode="d-mmm-yyyy"/>
    <numFmt numFmtId="166" formatCode="#,##0.0;(#,##0.0);&quot;–&quot;"/>
    <numFmt numFmtId="167" formatCode="0.0%;(0.0%);&quot;–&quot;"/>
    <numFmt numFmtId="168" formatCode="#,##0;(#,##0);&quot;–&quot;"/>
    <numFmt numFmtId="169" formatCode="$#,##0.00"/>
    <numFmt numFmtId="170" formatCode="0.0000"/>
    <numFmt numFmtId="171" formatCode="0.00%;(0.00%);&quot;–&quot;"/>
    <numFmt numFmtId="172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i val="1"/>
      <color rgb="00595959"/>
      <sz val="9"/>
    </font>
    <font>
      <name val="Arial"/>
      <b val="1"/>
      <color rgb="00008000"/>
      <sz val="10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2" borderId="0" pivotButton="0" quotePrefix="0" xfId="0"/>
    <xf numFmtId="0" fontId="7" fillId="3" borderId="0" pivotButton="0" quotePrefix="0" xfId="0"/>
    <xf numFmtId="0" fontId="0" fillId="3" borderId="0" pivotButton="0" quotePrefix="0" xfId="0"/>
    <xf numFmtId="166" fontId="5" fillId="0" borderId="0" pivotButton="0" quotePrefix="0" xfId="0"/>
    <xf numFmtId="0" fontId="8" fillId="0" borderId="0" pivotButton="0" quotePrefix="0" xfId="0"/>
    <xf numFmtId="167" fontId="5" fillId="0" borderId="0" pivotButton="0" quotePrefix="0" xfId="0"/>
    <xf numFmtId="167" fontId="4" fillId="0" borderId="0" pivotButton="0" quotePrefix="0" xfId="0"/>
    <xf numFmtId="168" fontId="5" fillId="0" borderId="0" pivotButton="0" quotePrefix="0" xfId="0"/>
    <xf numFmtId="169" fontId="5" fillId="0" borderId="0" pivotButton="0" quotePrefix="0" xfId="0"/>
    <xf numFmtId="170" fontId="5" fillId="0" borderId="0" pivotButton="0" quotePrefix="0" xfId="0"/>
    <xf numFmtId="171" fontId="5" fillId="0" borderId="0" pivotButton="0" quotePrefix="0" xfId="0"/>
    <xf numFmtId="0" fontId="7" fillId="3" borderId="0" applyAlignment="1" pivotButton="0" quotePrefix="0" xfId="0">
      <alignment horizontal="right"/>
    </xf>
    <xf numFmtId="167" fontId="6" fillId="0" borderId="0" pivotButton="0" quotePrefix="0" xfId="0"/>
    <xf numFmtId="166" fontId="9" fillId="0" borderId="0" pivotButton="0" quotePrefix="0" xfId="0"/>
    <xf numFmtId="166" fontId="10" fillId="0" borderId="0" pivotButton="0" quotePrefix="0" xfId="0"/>
    <xf numFmtId="166" fontId="4" fillId="0" borderId="0" pivotButton="0" quotePrefix="0" xfId="0"/>
    <xf numFmtId="168" fontId="4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0" fontId="3" fillId="0" borderId="1" pivotButton="0" quotePrefix="0" xfId="0"/>
    <xf numFmtId="166" fontId="10" fillId="2" borderId="1" pivotButton="0" quotePrefix="0" xfId="0"/>
    <xf numFmtId="166" fontId="10" fillId="0" borderId="1" pivotButton="0" quotePrefix="0" xfId="0"/>
    <xf numFmtId="171" fontId="4" fillId="0" borderId="0" pivotButton="0" quotePrefix="0" xfId="0"/>
    <xf numFmtId="165" fontId="4" fillId="0" borderId="0" pivotButton="0" quotePrefix="0" xfId="0"/>
    <xf numFmtId="2" fontId="5" fillId="0" borderId="0" pivotButton="0" quotePrefix="0" xfId="0"/>
    <xf numFmtId="171" fontId="6" fillId="0" borderId="0" pivotButton="0" quotePrefix="0" xfId="0"/>
    <xf numFmtId="171" fontId="3" fillId="0" borderId="0" pivotButton="0" quotePrefix="0" xfId="0"/>
    <xf numFmtId="166" fontId="6" fillId="0" borderId="0" pivotButton="0" quotePrefix="0" xfId="0"/>
    <xf numFmtId="2" fontId="4" fillId="0" borderId="0" pivotButton="0" quotePrefix="0" xfId="0"/>
    <xf numFmtId="170" fontId="4" fillId="0" borderId="0" pivotButton="0" quotePrefix="0" xfId="0"/>
    <xf numFmtId="166" fontId="3" fillId="2" borderId="0" pivotButton="0" quotePrefix="0" xfId="0"/>
    <xf numFmtId="172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70" customWidth="1" min="3" max="3"/>
  </cols>
  <sheetData>
    <row r="2">
      <c r="B2" s="1" t="inlineStr">
        <is>
          <t>Calder &amp; Finch Home, Inc.</t>
        </is>
      </c>
    </row>
    <row r="3">
      <c r="B3" s="2" t="inlineStr">
        <is>
          <t>Five-year operating model and DCF valuation</t>
        </is>
      </c>
    </row>
    <row r="5">
      <c r="B5" s="3" t="inlineStr">
        <is>
          <t>Model date</t>
        </is>
      </c>
      <c r="C5" s="4" t="n">
        <v>46235</v>
      </c>
    </row>
    <row r="6">
      <c r="B6" s="3" t="inlineStr">
        <is>
          <t>Market inputs as of</t>
        </is>
      </c>
      <c r="C6" s="5" t="inlineStr">
        <is>
          <t>Close of 31-Jul-2026</t>
        </is>
      </c>
    </row>
    <row r="7">
      <c r="B7" s="3" t="inlineStr">
        <is>
          <t>Prepared by</t>
        </is>
      </c>
      <c r="C7" s="5" t="inlineStr">
        <is>
          <t>FP&amp;A / Corporate Development</t>
        </is>
      </c>
    </row>
    <row r="8">
      <c r="B8" s="3" t="inlineStr">
        <is>
          <t>Version</t>
        </is>
      </c>
      <c r="C8" s="5" t="inlineStr">
        <is>
          <t>v3 - board pre-read, August 2026</t>
        </is>
      </c>
    </row>
    <row r="9">
      <c r="B9" s="3" t="inlineStr">
        <is>
          <t>Currency / units</t>
        </is>
      </c>
      <c r="C9" s="5" t="inlineStr">
        <is>
          <t>US$ millions unless noted</t>
        </is>
      </c>
    </row>
    <row r="10">
      <c r="B10" s="3" t="inlineStr">
        <is>
          <t>Fiscal year</t>
        </is>
      </c>
      <c r="C10" s="5" t="inlineStr">
        <is>
          <t>Calendar year (FY2026 = Jan-Dec 2026)</t>
        </is>
      </c>
    </row>
    <row r="12" ht="40" customHeight="1">
      <c r="B12" s="3" t="inlineStr">
        <is>
          <t>Business</t>
        </is>
      </c>
      <c r="C12" s="6" t="inlineStr">
        <is>
          <t>US designer and wholesaler of residential furniture (seating, casegoods, outdoor). Sources from Vietnam, Canada, the EU and US domestic plants; sells to retailers and DTC.</t>
        </is>
      </c>
    </row>
    <row r="14">
      <c r="B14" s="3" t="inlineStr">
        <is>
          <t>Tabs</t>
        </is>
      </c>
    </row>
    <row r="15">
      <c r="B15" s="7" t="inlineStr">
        <is>
          <t>Assumptions</t>
        </is>
      </c>
      <c r="C15" s="7" t="inlineStr">
        <is>
          <t>Operating, market, policy and financing inputs</t>
        </is>
      </c>
    </row>
    <row r="16">
      <c r="B16" s="7" t="inlineStr">
        <is>
          <t>P&amp;L</t>
        </is>
      </c>
      <c r="C16" s="7" t="inlineStr">
        <is>
          <t>Revenue build, cost of goods, EBITDA, interest, net income</t>
        </is>
      </c>
    </row>
    <row r="17">
      <c r="B17" s="7" t="inlineStr">
        <is>
          <t>DCF</t>
        </is>
      </c>
      <c r="C17" s="7" t="inlineStr">
        <is>
          <t>WACC, unlevered free cash flow, NPV / enterprise and equity value</t>
        </is>
      </c>
    </row>
    <row r="19">
      <c r="B19" s="3" t="inlineStr">
        <is>
          <t>Colour legend</t>
        </is>
      </c>
    </row>
    <row r="20">
      <c r="B20" s="8" t="inlineStr">
        <is>
          <t>1,234</t>
        </is>
      </c>
      <c r="C20" s="7" t="inlineStr">
        <is>
          <t>Hardcoded input</t>
        </is>
      </c>
    </row>
    <row r="21">
      <c r="B21" s="7" t="inlineStr">
        <is>
          <t>1,234</t>
        </is>
      </c>
      <c r="C21" s="7" t="inlineStr">
        <is>
          <t>Formula</t>
        </is>
      </c>
    </row>
    <row r="22">
      <c r="B22" s="9" t="inlineStr">
        <is>
          <t>1,234</t>
        </is>
      </c>
      <c r="C22" s="7" t="inlineStr">
        <is>
          <t>Link to another tab</t>
        </is>
      </c>
    </row>
    <row r="23">
      <c r="B23" s="10" t="inlineStr"/>
      <c r="C23" s="7" t="inlineStr">
        <is>
          <t>Key output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70" customWidth="1" min="8" max="8"/>
  </cols>
  <sheetData>
    <row r="1">
      <c r="A1" s="1" t="inlineStr">
        <is>
          <t>Calder &amp; Finch Home, Inc. - Assumptions</t>
        </is>
      </c>
    </row>
    <row r="2">
      <c r="A2" s="2" t="inlineStr">
        <is>
          <t>Model date 1-Aug-2026. Market inputs at close of 31-Jul-2026. US$ millions unless noted.</t>
        </is>
      </c>
    </row>
    <row r="4">
      <c r="A4" s="11" t="inlineStr">
        <is>
          <t>Revenue and cost structure</t>
        </is>
      </c>
      <c r="B4" s="11" t="inlineStr">
        <is>
          <t>Value</t>
        </is>
      </c>
      <c r="C4" s="11" t="inlineStr">
        <is>
          <t>Unit</t>
        </is>
      </c>
      <c r="D4" s="12" t="n"/>
      <c r="E4" s="12" t="n"/>
      <c r="F4" s="12" t="n"/>
      <c r="G4" s="12" t="n"/>
      <c r="H4" s="11" t="inlineStr">
        <is>
          <t>Source / note</t>
        </is>
      </c>
    </row>
    <row r="5">
      <c r="A5" s="7" t="inlineStr">
        <is>
          <t>FY2025A net revenue</t>
        </is>
      </c>
      <c r="B5" s="13" t="n">
        <v>812</v>
      </c>
      <c r="C5" s="7" t="inlineStr">
        <is>
          <t>$mm</t>
        </is>
      </c>
      <c r="H5" s="14" t="inlineStr">
        <is>
          <t>FY2025 audited financial statements</t>
        </is>
      </c>
    </row>
    <row r="6">
      <c r="A6" s="7" t="inlineStr">
        <is>
          <t>Purchases from non-EU suppliers, % of revenue</t>
        </is>
      </c>
      <c r="B6" s="15" t="n">
        <v>0.38</v>
      </c>
      <c r="C6" s="7" t="inlineStr">
        <is>
          <t>%</t>
        </is>
      </c>
      <c r="H6" s="14" t="inlineStr">
        <is>
          <t>FY2025A actual mix</t>
        </is>
      </c>
    </row>
    <row r="7">
      <c r="A7" s="7" t="inlineStr">
        <is>
          <t xml:space="preserve">   of which Vietnam</t>
        </is>
      </c>
      <c r="B7" s="15" t="n">
        <v>0.5</v>
      </c>
      <c r="C7" s="7" t="inlineStr">
        <is>
          <t>% of non-EU</t>
        </is>
      </c>
      <c r="H7" s="14" t="inlineStr">
        <is>
          <t>2026 sourcing plan</t>
        </is>
      </c>
    </row>
    <row r="8">
      <c r="A8" s="7" t="inlineStr">
        <is>
          <t xml:space="preserve">   of which Canada</t>
        </is>
      </c>
      <c r="B8" s="15" t="n">
        <v>0.3</v>
      </c>
      <c r="C8" s="7" t="inlineStr">
        <is>
          <t>% of non-EU</t>
        </is>
      </c>
      <c r="H8" s="14" t="inlineStr">
        <is>
          <t>2026 sourcing plan (Quebec and Ontario plants)</t>
        </is>
      </c>
    </row>
    <row r="9">
      <c r="A9" s="7" t="inlineStr">
        <is>
          <t xml:space="preserve">   of which US domestic</t>
        </is>
      </c>
      <c r="B9" s="16">
        <f>1-B7-B8</f>
        <v/>
      </c>
      <c r="C9" s="7" t="inlineStr">
        <is>
          <t>% of non-EU</t>
        </is>
      </c>
      <c r="H9" s="14" t="inlineStr">
        <is>
          <t>Balance</t>
        </is>
      </c>
    </row>
    <row r="10">
      <c r="A10" s="7" t="inlineStr">
        <is>
          <t>EU supplier contract volume, FY2026E</t>
        </is>
      </c>
      <c r="B10" s="13" t="n">
        <v>74</v>
      </c>
      <c r="C10" s="7" t="inlineStr">
        <is>
          <t>€mm</t>
        </is>
      </c>
      <c r="H10" s="14" t="inlineStr">
        <is>
          <t>2026 supplier contracts, priced in EUR (Italy, Portugal)</t>
        </is>
      </c>
    </row>
    <row r="11">
      <c r="A11" s="7" t="inlineStr">
        <is>
          <t>Containers imported from Asia, FY2026E</t>
        </is>
      </c>
      <c r="B11" s="17" t="n">
        <v>9800</v>
      </c>
      <c r="C11" s="7" t="inlineStr">
        <is>
          <t>FEU</t>
        </is>
      </c>
      <c r="H11" s="14" t="inlineStr">
        <is>
          <t>2026 logistics plan (40ft equivalent units)</t>
        </is>
      </c>
    </row>
    <row r="12">
      <c r="A12" s="7" t="inlineStr">
        <is>
          <t>Oil-linked consumption, FY2026E</t>
        </is>
      </c>
      <c r="B12" s="17" t="n">
        <v>420</v>
      </c>
      <c r="C12" s="7" t="inlineStr">
        <is>
          <t>000 bbl-eq</t>
        </is>
      </c>
      <c r="H12" s="14" t="inlineStr">
        <is>
          <t>Procurement estimate: foam, poly, packaging, diesel</t>
        </is>
      </c>
    </row>
    <row r="13">
      <c r="A13" s="7" t="inlineStr">
        <is>
          <t>SG&amp;A, % of revenue</t>
        </is>
      </c>
      <c r="B13" s="15" t="n">
        <v>0.19</v>
      </c>
      <c r="C13" s="7" t="inlineStr">
        <is>
          <t>%</t>
        </is>
      </c>
      <c r="H13" s="14" t="inlineStr">
        <is>
          <t>FY2025A run-rate</t>
        </is>
      </c>
    </row>
    <row r="14">
      <c r="A14" s="7" t="inlineStr">
        <is>
          <t>Warehousing and distribution, % of revenue</t>
        </is>
      </c>
      <c r="B14" s="15" t="n">
        <v>0.065</v>
      </c>
      <c r="C14" s="7" t="inlineStr">
        <is>
          <t>%</t>
        </is>
      </c>
      <c r="H14" s="14" t="inlineStr">
        <is>
          <t>FY2025A run-rate</t>
        </is>
      </c>
    </row>
    <row r="15">
      <c r="A15" s="7" t="inlineStr">
        <is>
          <t>D&amp;A, % of revenue</t>
        </is>
      </c>
      <c r="B15" s="15" t="n">
        <v>0.022</v>
      </c>
      <c r="C15" s="7" t="inlineStr">
        <is>
          <t>%</t>
        </is>
      </c>
      <c r="H15" s="14" t="inlineStr">
        <is>
          <t>FY2025A run-rate</t>
        </is>
      </c>
    </row>
    <row r="16">
      <c r="A16" s="7" t="inlineStr">
        <is>
          <t>Capex, % of revenue</t>
        </is>
      </c>
      <c r="B16" s="15" t="n">
        <v>0.025</v>
      </c>
      <c r="C16" s="7" t="inlineStr">
        <is>
          <t>%</t>
        </is>
      </c>
      <c r="H16" s="14" t="inlineStr">
        <is>
          <t>Five-year capital plan</t>
        </is>
      </c>
    </row>
    <row r="17">
      <c r="A17" s="7" t="inlineStr">
        <is>
          <t>Net working capital, % of revenue</t>
        </is>
      </c>
      <c r="B17" s="15" t="n">
        <v>0.14</v>
      </c>
      <c r="C17" s="7" t="inlineStr">
        <is>
          <t>%</t>
        </is>
      </c>
      <c r="H17" s="14" t="inlineStr">
        <is>
          <t>FY2025A actual</t>
        </is>
      </c>
    </row>
    <row r="19">
      <c r="A19" s="11" t="inlineStr">
        <is>
          <t>Market and policy inputs (close of 31-Jul-2026)</t>
        </is>
      </c>
      <c r="B19" s="12" t="n"/>
      <c r="C19" s="12" t="n"/>
      <c r="D19" s="12" t="n"/>
      <c r="E19" s="12" t="n"/>
      <c r="F19" s="12" t="n"/>
      <c r="G19" s="12" t="n"/>
      <c r="H19" s="12" t="n"/>
    </row>
    <row r="20">
      <c r="A20" s="7" t="inlineStr">
        <is>
          <t>Brent crude oil</t>
        </is>
      </c>
      <c r="B20" s="18" t="n">
        <v>96.95</v>
      </c>
      <c r="C20" s="7" t="inlineStr">
        <is>
          <t>$/bbl</t>
        </is>
      </c>
      <c r="H20" s="14" t="inlineStr">
        <is>
          <t>EIA Europe Brent spot, FRED series DCOILBRENTEU, 31-Jul-2026</t>
        </is>
      </c>
    </row>
    <row r="21">
      <c r="A21" s="7" t="inlineStr">
        <is>
          <t>EUR/USD exchange rate</t>
        </is>
      </c>
      <c r="B21" s="19" t="n">
        <v>1.1519</v>
      </c>
      <c r="C21" s="7" t="inlineStr">
        <is>
          <t>$ per €</t>
        </is>
      </c>
      <c r="H21" s="14" t="inlineStr">
        <is>
          <t>Fed H.10 noon buying rate, FRED series DEXUSEU, 31-Jul-2026</t>
        </is>
      </c>
    </row>
    <row r="22">
      <c r="A22" s="7" t="inlineStr">
        <is>
          <t>Tariff on Vietnam-origin furniture</t>
        </is>
      </c>
      <c r="B22" s="15" t="n">
        <v>0.125</v>
      </c>
      <c r="C22" s="7" t="inlineStr">
        <is>
          <t>%</t>
        </is>
      </c>
      <c r="H22" s="14" t="inlineStr">
        <is>
          <t>USTR Section 301 forced-labor action, in force 24-Jul-2026</t>
        </is>
      </c>
    </row>
    <row r="23">
      <c r="A23" s="7" t="inlineStr">
        <is>
          <t>Tariff on Canada-origin furniture</t>
        </is>
      </c>
      <c r="B23" s="15" t="n">
        <v>0</v>
      </c>
      <c r="C23" s="7" t="inlineStr">
        <is>
          <t>%</t>
        </is>
      </c>
      <c r="H23" s="14" t="inlineStr">
        <is>
          <t>USMCA-qualifying goods enter duty-free</t>
        </is>
      </c>
    </row>
    <row r="24">
      <c r="A24" s="7" t="inlineStr">
        <is>
          <t>US federal corporate income tax rate</t>
        </is>
      </c>
      <c r="B24" s="15" t="n">
        <v>0.21</v>
      </c>
      <c r="C24" s="7" t="inlineStr">
        <is>
          <t>%</t>
        </is>
      </c>
      <c r="H24" s="14" t="inlineStr">
        <is>
          <t>IRC section 11(b)</t>
        </is>
      </c>
    </row>
    <row r="26">
      <c r="A26" s="11" t="inlineStr">
        <is>
          <t>Financing</t>
        </is>
      </c>
      <c r="B26" s="12" t="n"/>
      <c r="C26" s="12" t="n"/>
      <c r="D26" s="12" t="n"/>
      <c r="E26" s="12" t="n"/>
      <c r="F26" s="12" t="n"/>
      <c r="G26" s="12" t="n"/>
      <c r="H26" s="12" t="n"/>
    </row>
    <row r="27">
      <c r="A27" s="7" t="inlineStr">
        <is>
          <t>Term loan balance, 31-Dec-2025</t>
        </is>
      </c>
      <c r="B27" s="13" t="n">
        <v>300</v>
      </c>
      <c r="C27" s="7" t="inlineStr">
        <is>
          <t>$mm</t>
        </is>
      </c>
      <c r="H27" s="14" t="inlineStr">
        <is>
          <t>Credit agreement dated 14-Mar-2024; amortization paid each December</t>
        </is>
      </c>
    </row>
    <row r="28">
      <c r="A28" s="7" t="inlineStr">
        <is>
          <t>Scheduled amortization, % of original balance per year</t>
        </is>
      </c>
      <c r="B28" s="15" t="n">
        <v>0.05</v>
      </c>
      <c r="C28" s="7" t="inlineStr">
        <is>
          <t>%</t>
        </is>
      </c>
      <c r="H28" s="14" t="inlineStr">
        <is>
          <t>Credit agreement</t>
        </is>
      </c>
    </row>
    <row r="29">
      <c r="A29" s="7" t="inlineStr">
        <is>
          <t>Term loan margin over SOFR</t>
        </is>
      </c>
      <c r="B29" s="20" t="n">
        <v>0.0275</v>
      </c>
      <c r="C29" s="7" t="inlineStr">
        <is>
          <t>%</t>
        </is>
      </c>
      <c r="H29" s="14" t="inlineStr">
        <is>
          <t>Credit agreement, current leverage grid</t>
        </is>
      </c>
    </row>
    <row r="30">
      <c r="A30" s="7" t="inlineStr">
        <is>
          <t>Cash, 31-Jul-2026</t>
        </is>
      </c>
      <c r="B30" s="13" t="n">
        <v>46</v>
      </c>
      <c r="C30" s="7" t="inlineStr">
        <is>
          <t>$mm</t>
        </is>
      </c>
      <c r="H30" s="14" t="inlineStr">
        <is>
          <t>July 2026 management accounts</t>
        </is>
      </c>
    </row>
    <row r="32">
      <c r="A32" s="11" t="inlineStr">
        <is>
          <t>Revenue growth</t>
        </is>
      </c>
      <c r="B32" s="21" t="inlineStr">
        <is>
          <t>FY2026E</t>
        </is>
      </c>
      <c r="C32" s="21" t="inlineStr">
        <is>
          <t>FY2027E</t>
        </is>
      </c>
      <c r="D32" s="21" t="inlineStr">
        <is>
          <t>FY2028E</t>
        </is>
      </c>
      <c r="E32" s="21" t="inlineStr">
        <is>
          <t>FY2029E</t>
        </is>
      </c>
      <c r="F32" s="21" t="inlineStr">
        <is>
          <t>FY2030E</t>
        </is>
      </c>
      <c r="G32" s="12" t="n"/>
      <c r="H32" s="12" t="n"/>
    </row>
    <row r="33">
      <c r="A33" s="7" t="inlineStr">
        <is>
          <t>Net revenue growth, year on year</t>
        </is>
      </c>
      <c r="B33" s="15" t="n">
        <v>0.04</v>
      </c>
      <c r="C33" s="15" t="n">
        <v>0.045</v>
      </c>
      <c r="D33" s="15" t="n">
        <v>0.045</v>
      </c>
      <c r="E33" s="15" t="n">
        <v>0.04</v>
      </c>
      <c r="F33" s="15" t="n">
        <v>0.035</v>
      </c>
      <c r="H33" s="14" t="inlineStr">
        <is>
          <t>Management plan, June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Calder &amp; Finch Home, Inc. - Income Statement</t>
        </is>
      </c>
    </row>
    <row r="2">
      <c r="A2" s="2" t="inlineStr">
        <is>
          <t>US$ millions unless noted</t>
        </is>
      </c>
    </row>
    <row r="4">
      <c r="A4" s="11" t="inlineStr"/>
      <c r="B4" s="21" t="inlineStr">
        <is>
          <t>FY2025A</t>
        </is>
      </c>
      <c r="C4" s="21" t="inlineStr">
        <is>
          <t>FY2026E</t>
        </is>
      </c>
      <c r="D4" s="21" t="inlineStr">
        <is>
          <t>FY2027E</t>
        </is>
      </c>
      <c r="E4" s="21" t="inlineStr">
        <is>
          <t>FY2028E</t>
        </is>
      </c>
      <c r="F4" s="21" t="inlineStr">
        <is>
          <t>FY2029E</t>
        </is>
      </c>
      <c r="G4" s="21" t="inlineStr">
        <is>
          <t>FY2030E</t>
        </is>
      </c>
    </row>
    <row r="5">
      <c r="A5" s="7" t="inlineStr">
        <is>
          <t>Revenue growth</t>
        </is>
      </c>
      <c r="C5" s="22">
        <f>Assumptions!B33</f>
        <v/>
      </c>
      <c r="D5" s="22">
        <f>Assumptions!C33</f>
        <v/>
      </c>
      <c r="E5" s="22">
        <f>Assumptions!D33</f>
        <v/>
      </c>
      <c r="F5" s="22">
        <f>Assumptions!E33</f>
        <v/>
      </c>
      <c r="G5" s="22">
        <f>Assumptions!F33</f>
        <v/>
      </c>
    </row>
    <row r="6">
      <c r="A6" s="3" t="inlineStr">
        <is>
          <t>Net revenue</t>
        </is>
      </c>
      <c r="B6" s="23">
        <f>Assumptions!B5</f>
        <v/>
      </c>
      <c r="C6" s="24">
        <f>B6*(1+C5)</f>
        <v/>
      </c>
      <c r="D6" s="24">
        <f>C6*(1+D5)</f>
        <v/>
      </c>
      <c r="E6" s="24">
        <f>D6*(1+E5)</f>
        <v/>
      </c>
      <c r="F6" s="24">
        <f>E6*(1+F5)</f>
        <v/>
      </c>
      <c r="G6" s="24">
        <f>F6*(1+G5)</f>
        <v/>
      </c>
    </row>
    <row r="8">
      <c r="A8" s="3" t="inlineStr">
        <is>
          <t>Cost of goods sold</t>
        </is>
      </c>
    </row>
    <row r="9">
      <c r="A9" s="7" t="inlineStr">
        <is>
          <t>Purchases, non-EU suppliers</t>
        </is>
      </c>
      <c r="C9" s="25">
        <f>C6*Assumptions!$B$6</f>
        <v/>
      </c>
      <c r="D9" s="25">
        <f>D6*Assumptions!$B$6</f>
        <v/>
      </c>
      <c r="E9" s="25">
        <f>E6*Assumptions!$B$6</f>
        <v/>
      </c>
      <c r="F9" s="25">
        <f>F6*Assumptions!$B$6</f>
        <v/>
      </c>
      <c r="G9" s="25">
        <f>G6*Assumptions!$B$6</f>
        <v/>
      </c>
    </row>
    <row r="10">
      <c r="A10" s="7" t="inlineStr">
        <is>
          <t xml:space="preserve">   Vietnam</t>
        </is>
      </c>
      <c r="C10" s="25">
        <f>C9*Assumptions!$B$7</f>
        <v/>
      </c>
      <c r="D10" s="25">
        <f>D9*Assumptions!$B$7</f>
        <v/>
      </c>
      <c r="E10" s="25">
        <f>E9*Assumptions!$B$7</f>
        <v/>
      </c>
      <c r="F10" s="25">
        <f>F9*Assumptions!$B$7</f>
        <v/>
      </c>
      <c r="G10" s="25">
        <f>G9*Assumptions!$B$7</f>
        <v/>
      </c>
    </row>
    <row r="11">
      <c r="A11" s="7" t="inlineStr">
        <is>
          <t xml:space="preserve">   Canada</t>
        </is>
      </c>
      <c r="C11" s="25">
        <f>C9*Assumptions!$B$8</f>
        <v/>
      </c>
      <c r="D11" s="25">
        <f>D9*Assumptions!$B$8</f>
        <v/>
      </c>
      <c r="E11" s="25">
        <f>E9*Assumptions!$B$8</f>
        <v/>
      </c>
      <c r="F11" s="25">
        <f>F9*Assumptions!$B$8</f>
        <v/>
      </c>
      <c r="G11" s="25">
        <f>G9*Assumptions!$B$8</f>
        <v/>
      </c>
    </row>
    <row r="12">
      <c r="A12" s="7" t="inlineStr">
        <is>
          <t xml:space="preserve">   US domestic</t>
        </is>
      </c>
      <c r="C12" s="25">
        <f>C9*Assumptions!$B$9</f>
        <v/>
      </c>
      <c r="D12" s="25">
        <f>D9*Assumptions!$B$9</f>
        <v/>
      </c>
      <c r="E12" s="25">
        <f>E9*Assumptions!$B$9</f>
        <v/>
      </c>
      <c r="F12" s="25">
        <f>F9*Assumptions!$B$9</f>
        <v/>
      </c>
      <c r="G12" s="25">
        <f>G9*Assumptions!$B$9</f>
        <v/>
      </c>
    </row>
    <row r="13">
      <c r="A13" s="7" t="inlineStr">
        <is>
          <t>EU purchases (€mm)</t>
        </is>
      </c>
      <c r="C13" s="25">
        <f>Assumptions!$B$10</f>
        <v/>
      </c>
      <c r="D13" s="25">
        <f>C13*(1+D5)</f>
        <v/>
      </c>
      <c r="E13" s="25">
        <f>D13*(1+E5)</f>
        <v/>
      </c>
      <c r="F13" s="25">
        <f>E13*(1+F5)</f>
        <v/>
      </c>
      <c r="G13" s="25">
        <f>F13*(1+G5)</f>
        <v/>
      </c>
    </row>
    <row r="14">
      <c r="A14" s="7" t="inlineStr">
        <is>
          <t>EU purchases ($mm)</t>
        </is>
      </c>
      <c r="C14" s="25">
        <f>C13*Assumptions!$B$21</f>
        <v/>
      </c>
      <c r="D14" s="25">
        <f>D13*Assumptions!$B$21</f>
        <v/>
      </c>
      <c r="E14" s="25">
        <f>E13*Assumptions!$B$21</f>
        <v/>
      </c>
      <c r="F14" s="25">
        <f>F13*Assumptions!$B$21</f>
        <v/>
      </c>
      <c r="G14" s="25">
        <f>G13*Assumptions!$B$21</f>
        <v/>
      </c>
    </row>
    <row r="15">
      <c r="A15" s="7" t="inlineStr">
        <is>
          <t>Import tariffs, Vietnam</t>
        </is>
      </c>
      <c r="C15" s="25">
        <f>C10*Assumptions!$B$22</f>
        <v/>
      </c>
      <c r="D15" s="25">
        <f>D10*Assumptions!$B$22</f>
        <v/>
      </c>
      <c r="E15" s="25">
        <f>E10*Assumptions!$B$22</f>
        <v/>
      </c>
      <c r="F15" s="25">
        <f>F10*Assumptions!$B$22</f>
        <v/>
      </c>
      <c r="G15" s="25">
        <f>G10*Assumptions!$B$22</f>
        <v/>
      </c>
    </row>
    <row r="16">
      <c r="A16" s="7" t="inlineStr">
        <is>
          <t>Import tariffs, Canada</t>
        </is>
      </c>
      <c r="C16" s="25">
        <f>C11*Assumptions!$B$23</f>
        <v/>
      </c>
      <c r="D16" s="25">
        <f>D11*Assumptions!$B$23</f>
        <v/>
      </c>
      <c r="E16" s="25">
        <f>E11*Assumptions!$B$23</f>
        <v/>
      </c>
      <c r="F16" s="25">
        <f>F11*Assumptions!$B$23</f>
        <v/>
      </c>
      <c r="G16" s="25">
        <f>G11*Assumptions!$B$23</f>
        <v/>
      </c>
    </row>
    <row r="17">
      <c r="A17" s="7" t="inlineStr">
        <is>
          <t>Containers imported (FEU)</t>
        </is>
      </c>
      <c r="C17" s="26">
        <f>Assumptions!$B$11</f>
        <v/>
      </c>
      <c r="D17" s="26">
        <f>C17*(1+D5)</f>
        <v/>
      </c>
      <c r="E17" s="26">
        <f>D17*(1+E5)</f>
        <v/>
      </c>
      <c r="F17" s="26">
        <f>E17*(1+F5)</f>
        <v/>
      </c>
      <c r="G17" s="26">
        <f>F17*(1+G5)</f>
        <v/>
      </c>
    </row>
    <row r="18">
      <c r="A18" s="7" t="inlineStr">
        <is>
          <t>Ocean freight, Asia to US West Coast</t>
        </is>
      </c>
      <c r="C18" s="25">
        <f>C17*5739/1000000</f>
        <v/>
      </c>
      <c r="D18" s="25">
        <f>D17*5739/1000000</f>
        <v/>
      </c>
      <c r="E18" s="25">
        <f>E17*5739/1000000</f>
        <v/>
      </c>
      <c r="F18" s="25">
        <f>F17*5739/1000000</f>
        <v/>
      </c>
      <c r="G18" s="25">
        <f>G17*5739/1000000</f>
        <v/>
      </c>
    </row>
    <row r="19">
      <c r="A19" s="7" t="inlineStr">
        <is>
          <t>Oil-linked consumption (000 bbl-eq)</t>
        </is>
      </c>
      <c r="C19" s="26">
        <f>Assumptions!$B$12</f>
        <v/>
      </c>
      <c r="D19" s="26">
        <f>C19*(1+D5)</f>
        <v/>
      </c>
      <c r="E19" s="26">
        <f>D19*(1+E5)</f>
        <v/>
      </c>
      <c r="F19" s="26">
        <f>E19*(1+F5)</f>
        <v/>
      </c>
      <c r="G19" s="26">
        <f>F19*(1+G5)</f>
        <v/>
      </c>
    </row>
    <row r="20">
      <c r="A20" s="7" t="inlineStr">
        <is>
          <t>Oil-linked materials and fuel</t>
        </is>
      </c>
      <c r="C20" s="25">
        <f>C19*Assumptions!$B$20/1000</f>
        <v/>
      </c>
      <c r="D20" s="25">
        <f>D19*Assumptions!$B$20/1000</f>
        <v/>
      </c>
      <c r="E20" s="25">
        <f>E19*Assumptions!$B$20/1000</f>
        <v/>
      </c>
      <c r="F20" s="25">
        <f>F19*Assumptions!$B$20/1000</f>
        <v/>
      </c>
      <c r="G20" s="25">
        <f>G19*Assumptions!$B$20/1000</f>
        <v/>
      </c>
    </row>
    <row r="21">
      <c r="A21" s="27" t="inlineStr">
        <is>
          <t>Total cost of goods sold</t>
        </is>
      </c>
      <c r="C21" s="28">
        <f>C9+C14+C15+C16+C18+C20</f>
        <v/>
      </c>
      <c r="D21" s="28">
        <f>D9+D14+D15+D16+D18+D20</f>
        <v/>
      </c>
      <c r="E21" s="28">
        <f>E9+E14+E15+E16+E18+E20</f>
        <v/>
      </c>
      <c r="F21" s="28">
        <f>F9+F14+F15+F16+F18+F20</f>
        <v/>
      </c>
      <c r="G21" s="28">
        <f>G9+G14+G15+G16+G18+G20</f>
        <v/>
      </c>
    </row>
    <row r="22">
      <c r="A22" s="3" t="inlineStr">
        <is>
          <t>Gross profit</t>
        </is>
      </c>
      <c r="C22" s="24">
        <f>C6-C21</f>
        <v/>
      </c>
      <c r="D22" s="24">
        <f>D6-D21</f>
        <v/>
      </c>
      <c r="E22" s="24">
        <f>E6-E21</f>
        <v/>
      </c>
      <c r="F22" s="24">
        <f>F6-F21</f>
        <v/>
      </c>
      <c r="G22" s="24">
        <f>G6-G21</f>
        <v/>
      </c>
    </row>
    <row r="23">
      <c r="A23" s="7" t="inlineStr">
        <is>
          <t xml:space="preserve">   Gross margin</t>
        </is>
      </c>
      <c r="C23" s="16">
        <f>C22/C6</f>
        <v/>
      </c>
      <c r="D23" s="16">
        <f>D22/D6</f>
        <v/>
      </c>
      <c r="E23" s="16">
        <f>E22/E6</f>
        <v/>
      </c>
      <c r="F23" s="16">
        <f>F22/F6</f>
        <v/>
      </c>
      <c r="G23" s="16">
        <f>G22/G6</f>
        <v/>
      </c>
    </row>
    <row r="25">
      <c r="A25" s="7" t="inlineStr">
        <is>
          <t>SG&amp;A</t>
        </is>
      </c>
      <c r="C25" s="25">
        <f>C6*Assumptions!$B$13</f>
        <v/>
      </c>
      <c r="D25" s="25">
        <f>D6*Assumptions!$B$13</f>
        <v/>
      </c>
      <c r="E25" s="25">
        <f>E6*Assumptions!$B$13</f>
        <v/>
      </c>
      <c r="F25" s="25">
        <f>F6*Assumptions!$B$13</f>
        <v/>
      </c>
      <c r="G25" s="25">
        <f>G6*Assumptions!$B$13</f>
        <v/>
      </c>
    </row>
    <row r="26">
      <c r="A26" s="7" t="inlineStr">
        <is>
          <t>Warehousing and distribution</t>
        </is>
      </c>
      <c r="C26" s="25">
        <f>C6*Assumptions!$B$14</f>
        <v/>
      </c>
      <c r="D26" s="25">
        <f>D6*Assumptions!$B$14</f>
        <v/>
      </c>
      <c r="E26" s="25">
        <f>E6*Assumptions!$B$14</f>
        <v/>
      </c>
      <c r="F26" s="25">
        <f>F6*Assumptions!$B$14</f>
        <v/>
      </c>
      <c r="G26" s="25">
        <f>G6*Assumptions!$B$14</f>
        <v/>
      </c>
    </row>
    <row r="27">
      <c r="A27" s="29" t="inlineStr">
        <is>
          <t>EBITDA</t>
        </is>
      </c>
      <c r="C27" s="30">
        <f>C22-C25-C26</f>
        <v/>
      </c>
      <c r="D27" s="30">
        <f>D22-D25-D26</f>
        <v/>
      </c>
      <c r="E27" s="30">
        <f>E22-E25-E26</f>
        <v/>
      </c>
      <c r="F27" s="30">
        <f>F22-F25-F26</f>
        <v/>
      </c>
      <c r="G27" s="30">
        <f>G22-G25-G26</f>
        <v/>
      </c>
    </row>
    <row r="28">
      <c r="A28" s="7" t="inlineStr">
        <is>
          <t xml:space="preserve">   EBITDA margin</t>
        </is>
      </c>
      <c r="C28" s="16">
        <f>C27/C6</f>
        <v/>
      </c>
      <c r="D28" s="16">
        <f>D27/D6</f>
        <v/>
      </c>
      <c r="E28" s="16">
        <f>E27/E6</f>
        <v/>
      </c>
      <c r="F28" s="16">
        <f>F27/F6</f>
        <v/>
      </c>
      <c r="G28" s="16">
        <f>G27/G6</f>
        <v/>
      </c>
    </row>
    <row r="29">
      <c r="A29" s="7" t="inlineStr">
        <is>
          <t>Depreciation and amortization</t>
        </is>
      </c>
      <c r="C29" s="25">
        <f>C6*Assumptions!$B$15</f>
        <v/>
      </c>
      <c r="D29" s="25">
        <f>D6*Assumptions!$B$15</f>
        <v/>
      </c>
      <c r="E29" s="25">
        <f>E6*Assumptions!$B$15</f>
        <v/>
      </c>
      <c r="F29" s="25">
        <f>F6*Assumptions!$B$15</f>
        <v/>
      </c>
      <c r="G29" s="25">
        <f>G6*Assumptions!$B$15</f>
        <v/>
      </c>
    </row>
    <row r="30">
      <c r="A30" s="29" t="inlineStr">
        <is>
          <t>EBIT</t>
        </is>
      </c>
      <c r="C30" s="31">
        <f>C27-C29</f>
        <v/>
      </c>
      <c r="D30" s="31">
        <f>D27-D29</f>
        <v/>
      </c>
      <c r="E30" s="31">
        <f>E27-E29</f>
        <v/>
      </c>
      <c r="F30" s="31">
        <f>F27-F29</f>
        <v/>
      </c>
      <c r="G30" s="31">
        <f>G27-G29</f>
        <v/>
      </c>
    </row>
    <row r="32">
      <c r="A32" s="3" t="inlineStr">
        <is>
          <t>Financing</t>
        </is>
      </c>
    </row>
    <row r="33">
      <c r="A33" s="7" t="inlineStr">
        <is>
          <t>Term loan, opening</t>
        </is>
      </c>
      <c r="C33" s="25">
        <f>Assumptions!$B$27</f>
        <v/>
      </c>
      <c r="D33" s="25">
        <f>C34</f>
        <v/>
      </c>
      <c r="E33" s="25">
        <f>D34</f>
        <v/>
      </c>
      <c r="F33" s="25">
        <f>E34</f>
        <v/>
      </c>
      <c r="G33" s="25">
        <f>F34</f>
        <v/>
      </c>
    </row>
    <row r="34">
      <c r="A34" s="7" t="inlineStr">
        <is>
          <t>Term loan, closing</t>
        </is>
      </c>
      <c r="C34" s="25">
        <f>MAX(C33-Assumptions!$B$27*Assumptions!$B$28,0)</f>
        <v/>
      </c>
      <c r="D34" s="25">
        <f>MAX(D33-Assumptions!$B$27*Assumptions!$B$28,0)</f>
        <v/>
      </c>
      <c r="E34" s="25">
        <f>MAX(E33-Assumptions!$B$27*Assumptions!$B$28,0)</f>
        <v/>
      </c>
      <c r="F34" s="25">
        <f>MAX(F33-Assumptions!$B$27*Assumptions!$B$28,0)</f>
        <v/>
      </c>
      <c r="G34" s="25">
        <f>MAX(G33-Assumptions!$B$27*Assumptions!$B$28,0)</f>
        <v/>
      </c>
    </row>
    <row r="35">
      <c r="A35" s="7" t="inlineStr">
        <is>
          <t>Interest rate (SOFR + margin)</t>
        </is>
      </c>
      <c r="C35" s="32">
        <f>0.0366+Assumptions!$B$29</f>
        <v/>
      </c>
      <c r="D35" s="32">
        <f>0.0366+Assumptions!$B$29</f>
        <v/>
      </c>
      <c r="E35" s="32">
        <f>0.0366+Assumptions!$B$29</f>
        <v/>
      </c>
      <c r="F35" s="32">
        <f>0.0366+Assumptions!$B$29</f>
        <v/>
      </c>
      <c r="G35" s="32">
        <f>0.0366+Assumptions!$B$29</f>
        <v/>
      </c>
    </row>
    <row r="36">
      <c r="A36" s="7" t="inlineStr">
        <is>
          <t>Interest expense</t>
        </is>
      </c>
      <c r="C36" s="25">
        <f>AVERAGE(C33,C34)*C35</f>
        <v/>
      </c>
      <c r="D36" s="25">
        <f>AVERAGE(D33,D34)*D35</f>
        <v/>
      </c>
      <c r="E36" s="25">
        <f>AVERAGE(E33,E34)*E35</f>
        <v/>
      </c>
      <c r="F36" s="25">
        <f>AVERAGE(F33,F34)*F35</f>
        <v/>
      </c>
      <c r="G36" s="25">
        <f>AVERAGE(G33,G34)*G35</f>
        <v/>
      </c>
    </row>
    <row r="37">
      <c r="A37" s="27" t="inlineStr">
        <is>
          <t>Pre-tax income</t>
        </is>
      </c>
      <c r="C37" s="28">
        <f>C30-C36</f>
        <v/>
      </c>
      <c r="D37" s="28">
        <f>D30-D36</f>
        <v/>
      </c>
      <c r="E37" s="28">
        <f>E30-E36</f>
        <v/>
      </c>
      <c r="F37" s="28">
        <f>F30-F36</f>
        <v/>
      </c>
      <c r="G37" s="28">
        <f>G30-G36</f>
        <v/>
      </c>
    </row>
    <row r="38">
      <c r="A38" s="7" t="inlineStr">
        <is>
          <t>Income tax</t>
        </is>
      </c>
      <c r="C38" s="25">
        <f>MAX(C37,0)*Assumptions!$B$24</f>
        <v/>
      </c>
      <c r="D38" s="25">
        <f>MAX(D37,0)*Assumptions!$B$24</f>
        <v/>
      </c>
      <c r="E38" s="25">
        <f>MAX(E37,0)*Assumptions!$B$24</f>
        <v/>
      </c>
      <c r="F38" s="25">
        <f>MAX(F37,0)*Assumptions!$B$24</f>
        <v/>
      </c>
      <c r="G38" s="25">
        <f>MAX(G37,0)*Assumptions!$B$24</f>
        <v/>
      </c>
    </row>
    <row r="39">
      <c r="A39" s="29" t="inlineStr">
        <is>
          <t>Net income</t>
        </is>
      </c>
      <c r="C39" s="31">
        <f>C37-C38</f>
        <v/>
      </c>
      <c r="D39" s="31">
        <f>D37-D38</f>
        <v/>
      </c>
      <c r="E39" s="31">
        <f>E37-E38</f>
        <v/>
      </c>
      <c r="F39" s="31">
        <f>F37-F38</f>
        <v/>
      </c>
      <c r="G39" s="31">
        <f>G37-G38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58" customWidth="1" min="8" max="8"/>
  </cols>
  <sheetData>
    <row r="1">
      <c r="A1" s="1" t="inlineStr">
        <is>
          <t>Calder &amp; Finch Home, Inc. - DCF Valuation</t>
        </is>
      </c>
    </row>
    <row r="2">
      <c r="A2" s="2" t="inlineStr">
        <is>
          <t>US$ millions unless noted. Unlevered free cash flow, end-of-period discounting.</t>
        </is>
      </c>
    </row>
    <row r="4">
      <c r="A4" s="11" t="inlineStr">
        <is>
          <t>Discount rate (WACC)</t>
        </is>
      </c>
      <c r="B4" s="12" t="n"/>
      <c r="C4" s="12" t="n"/>
      <c r="D4" s="12" t="n"/>
      <c r="E4" s="12" t="n"/>
      <c r="F4" s="12" t="n"/>
      <c r="G4" s="12" t="n"/>
      <c r="H4" s="11" t="inlineStr">
        <is>
          <t>Source / note</t>
        </is>
      </c>
    </row>
    <row r="5">
      <c r="A5" s="7" t="inlineStr">
        <is>
          <t>Valuation date</t>
        </is>
      </c>
      <c r="B5" s="33">
        <f>DATE(2026,8,1)</f>
        <v/>
      </c>
      <c r="H5" s="14" t="inlineStr">
        <is>
          <t>Model date</t>
        </is>
      </c>
    </row>
    <row r="6">
      <c r="A6" s="7" t="inlineStr">
        <is>
          <t>Risk-free rate (10-year US Treasury)</t>
        </is>
      </c>
      <c r="B6" s="20" t="n">
        <v>0.0475</v>
      </c>
      <c r="H6" s="14" t="inlineStr">
        <is>
          <t>FRED series DGS10, 31-Jul-2026</t>
        </is>
      </c>
    </row>
    <row r="7">
      <c r="A7" s="7" t="inlineStr">
        <is>
          <t>Equity risk premium</t>
        </is>
      </c>
      <c r="B7" s="20" t="n">
        <v>0.05</v>
      </c>
      <c r="H7" s="14" t="inlineStr">
        <is>
          <t>House view</t>
        </is>
      </c>
    </row>
    <row r="8">
      <c r="A8" s="7" t="inlineStr">
        <is>
          <t>Levered beta</t>
        </is>
      </c>
      <c r="B8" s="34" t="n">
        <v>1.15</v>
      </c>
      <c r="H8" s="14" t="inlineStr">
        <is>
          <t>Median of listed furniture peers, 2-year weekly</t>
        </is>
      </c>
    </row>
    <row r="9">
      <c r="A9" s="7" t="inlineStr">
        <is>
          <t>Size premium</t>
        </is>
      </c>
      <c r="B9" s="20" t="n">
        <v>0.01</v>
      </c>
      <c r="H9" s="14" t="inlineStr">
        <is>
          <t>House view</t>
        </is>
      </c>
    </row>
    <row r="10">
      <c r="A10" s="7" t="inlineStr">
        <is>
          <t>Cost of equity</t>
        </is>
      </c>
      <c r="B10" s="32">
        <f>B6+B8*B7+B9</f>
        <v/>
      </c>
      <c r="H10" s="14" t="inlineStr">
        <is>
          <t>CAPM + size premium</t>
        </is>
      </c>
    </row>
    <row r="11">
      <c r="A11" s="7" t="inlineStr">
        <is>
          <t>Pre-tax cost of debt</t>
        </is>
      </c>
      <c r="B11" s="35">
        <f>'P&amp;L'!C35</f>
        <v/>
      </c>
      <c r="H11" s="14" t="inlineStr">
        <is>
          <t>Term loan all-in rate, FY2026E</t>
        </is>
      </c>
    </row>
    <row r="12">
      <c r="A12" s="7" t="inlineStr">
        <is>
          <t>Tax rate</t>
        </is>
      </c>
      <c r="B12" s="22">
        <f>Assumptions!B24</f>
        <v/>
      </c>
      <c r="H12" s="14" t="inlineStr"/>
    </row>
    <row r="13">
      <c r="A13" s="7" t="inlineStr">
        <is>
          <t>After-tax cost of debt</t>
        </is>
      </c>
      <c r="B13" s="32">
        <f>B11*(1-B12)</f>
        <v/>
      </c>
      <c r="H13" s="14" t="inlineStr"/>
    </row>
    <row r="14">
      <c r="A14" s="7" t="inlineStr">
        <is>
          <t>Target debt / total capital</t>
        </is>
      </c>
      <c r="B14" s="15" t="n">
        <v>0.25</v>
      </c>
      <c r="H14" s="14" t="inlineStr">
        <is>
          <t>Board-approved capital structure</t>
        </is>
      </c>
    </row>
    <row r="15">
      <c r="A15" s="3" t="inlineStr">
        <is>
          <t>WACC</t>
        </is>
      </c>
      <c r="B15" s="36">
        <f>B10*(1-B14)+B13*B14</f>
        <v/>
      </c>
      <c r="H15" s="14" t="inlineStr"/>
    </row>
    <row r="16">
      <c r="A16" s="7" t="inlineStr">
        <is>
          <t>Terminal growth rate</t>
        </is>
      </c>
      <c r="B16" s="15" t="n">
        <v>0.025</v>
      </c>
      <c r="H16" s="14" t="inlineStr">
        <is>
          <t>House view, long-run nominal growth</t>
        </is>
      </c>
    </row>
    <row r="18">
      <c r="A18" s="11" t="inlineStr">
        <is>
          <t>Unlevered free cash flow</t>
        </is>
      </c>
      <c r="B18" s="12" t="n"/>
      <c r="C18" s="21" t="inlineStr">
        <is>
          <t>FY2026E</t>
        </is>
      </c>
      <c r="D18" s="21" t="inlineStr">
        <is>
          <t>FY2027E</t>
        </is>
      </c>
      <c r="E18" s="21" t="inlineStr">
        <is>
          <t>FY2028E</t>
        </is>
      </c>
      <c r="F18" s="21" t="inlineStr">
        <is>
          <t>FY2029E</t>
        </is>
      </c>
      <c r="G18" s="21" t="inlineStr">
        <is>
          <t>FY2030E</t>
        </is>
      </c>
      <c r="H18" s="12" t="n"/>
    </row>
    <row r="19">
      <c r="A19" s="7" t="inlineStr">
        <is>
          <t>Fiscal year end</t>
        </is>
      </c>
      <c r="C19" s="33">
        <f>DATE(2026,12,31)</f>
        <v/>
      </c>
      <c r="D19" s="33">
        <f>DATE(YEAR(C19)+1,12,31)</f>
        <v/>
      </c>
      <c r="E19" s="33">
        <f>DATE(YEAR(D19)+1,12,31)</f>
        <v/>
      </c>
      <c r="F19" s="33">
        <f>DATE(YEAR(E19)+1,12,31)</f>
        <v/>
      </c>
      <c r="G19" s="33">
        <f>DATE(YEAR(F19)+1,12,31)</f>
        <v/>
      </c>
    </row>
    <row r="20">
      <c r="A20" s="7" t="inlineStr">
        <is>
          <t>EBITDA</t>
        </is>
      </c>
      <c r="C20" s="37">
        <f>'P&amp;L'!C27</f>
        <v/>
      </c>
      <c r="D20" s="37">
        <f>'P&amp;L'!D27</f>
        <v/>
      </c>
      <c r="E20" s="37">
        <f>'P&amp;L'!E27</f>
        <v/>
      </c>
      <c r="F20" s="37">
        <f>'P&amp;L'!F27</f>
        <v/>
      </c>
      <c r="G20" s="37">
        <f>'P&amp;L'!G27</f>
        <v/>
      </c>
    </row>
    <row r="21">
      <c r="A21" s="7" t="inlineStr">
        <is>
          <t>Less: depreciation and amortization</t>
        </is>
      </c>
      <c r="C21" s="37">
        <f>-'P&amp;L'!C29</f>
        <v/>
      </c>
      <c r="D21" s="37">
        <f>-'P&amp;L'!D29</f>
        <v/>
      </c>
      <c r="E21" s="37">
        <f>-'P&amp;L'!E29</f>
        <v/>
      </c>
      <c r="F21" s="37">
        <f>-'P&amp;L'!F29</f>
        <v/>
      </c>
      <c r="G21" s="37">
        <f>-'P&amp;L'!G29</f>
        <v/>
      </c>
    </row>
    <row r="22">
      <c r="A22" s="27" t="inlineStr">
        <is>
          <t>EBIT</t>
        </is>
      </c>
      <c r="C22" s="28">
        <f>C20+C21</f>
        <v/>
      </c>
      <c r="D22" s="28">
        <f>D20+D21</f>
        <v/>
      </c>
      <c r="E22" s="28">
        <f>E20+E21</f>
        <v/>
      </c>
      <c r="F22" s="28">
        <f>F20+F21</f>
        <v/>
      </c>
      <c r="G22" s="28">
        <f>G20+G21</f>
        <v/>
      </c>
    </row>
    <row r="23">
      <c r="A23" s="7" t="inlineStr">
        <is>
          <t>Less: taxes on EBIT</t>
        </is>
      </c>
      <c r="C23" s="25">
        <f>-MAX(C22,0)*$B$12</f>
        <v/>
      </c>
      <c r="D23" s="25">
        <f>-MAX(D22,0)*$B$12</f>
        <v/>
      </c>
      <c r="E23" s="25">
        <f>-MAX(E22,0)*$B$12</f>
        <v/>
      </c>
      <c r="F23" s="25">
        <f>-MAX(F22,0)*$B$12</f>
        <v/>
      </c>
      <c r="G23" s="25">
        <f>-MAX(G22,0)*$B$12</f>
        <v/>
      </c>
    </row>
    <row r="24">
      <c r="A24" s="7" t="inlineStr">
        <is>
          <t>Add back: depreciation and amortization</t>
        </is>
      </c>
      <c r="C24" s="25">
        <f>-C21</f>
        <v/>
      </c>
      <c r="D24" s="25">
        <f>-D21</f>
        <v/>
      </c>
      <c r="E24" s="25">
        <f>-E21</f>
        <v/>
      </c>
      <c r="F24" s="25">
        <f>-F21</f>
        <v/>
      </c>
      <c r="G24" s="25">
        <f>-G21</f>
        <v/>
      </c>
    </row>
    <row r="25">
      <c r="A25" s="7" t="inlineStr">
        <is>
          <t>Less: capex</t>
        </is>
      </c>
      <c r="C25" s="25">
        <f>-'P&amp;L'!C6*Assumptions!$B$16</f>
        <v/>
      </c>
      <c r="D25" s="25">
        <f>-'P&amp;L'!D6*Assumptions!$B$16</f>
        <v/>
      </c>
      <c r="E25" s="25">
        <f>-'P&amp;L'!E6*Assumptions!$B$16</f>
        <v/>
      </c>
      <c r="F25" s="25">
        <f>-'P&amp;L'!F6*Assumptions!$B$16</f>
        <v/>
      </c>
      <c r="G25" s="25">
        <f>-'P&amp;L'!G6*Assumptions!$B$16</f>
        <v/>
      </c>
    </row>
    <row r="26">
      <c r="A26" s="7" t="inlineStr">
        <is>
          <t>Less: increase in net working capital</t>
        </is>
      </c>
      <c r="C26" s="25">
        <f>-('P&amp;L'!C6-'P&amp;L'!B6)*Assumptions!$B$17</f>
        <v/>
      </c>
      <c r="D26" s="25">
        <f>-('P&amp;L'!D6-'P&amp;L'!C6)*Assumptions!$B$17</f>
        <v/>
      </c>
      <c r="E26" s="25">
        <f>-('P&amp;L'!E6-'P&amp;L'!D6)*Assumptions!$B$17</f>
        <v/>
      </c>
      <c r="F26" s="25">
        <f>-('P&amp;L'!F6-'P&amp;L'!E6)*Assumptions!$B$17</f>
        <v/>
      </c>
      <c r="G26" s="25">
        <f>-('P&amp;L'!G6-'P&amp;L'!F6)*Assumptions!$B$17</f>
        <v/>
      </c>
    </row>
    <row r="27">
      <c r="A27" s="29" t="inlineStr">
        <is>
          <t>Unlevered free cash flow</t>
        </is>
      </c>
      <c r="C27" s="31">
        <f>SUM(C22:C26)</f>
        <v/>
      </c>
      <c r="D27" s="31">
        <f>SUM(D22:D26)</f>
        <v/>
      </c>
      <c r="E27" s="31">
        <f>SUM(E22:E26)</f>
        <v/>
      </c>
      <c r="F27" s="31">
        <f>SUM(F22:F26)</f>
        <v/>
      </c>
      <c r="G27" s="31">
        <f>SUM(G22:G26)</f>
        <v/>
      </c>
    </row>
    <row r="28">
      <c r="A28" s="7" t="inlineStr">
        <is>
          <t>Share of year after valuation date</t>
        </is>
      </c>
      <c r="C28" s="16">
        <f>MIN(1,(C19-$B$5)/365)</f>
        <v/>
      </c>
      <c r="D28" s="16">
        <f>MIN(1,(D19-$B$5)/365)</f>
        <v/>
      </c>
      <c r="E28" s="16">
        <f>MIN(1,(E19-$B$5)/365)</f>
        <v/>
      </c>
      <c r="F28" s="16">
        <f>MIN(1,(F19-$B$5)/365)</f>
        <v/>
      </c>
      <c r="G28" s="16">
        <f>MIN(1,(G19-$B$5)/365)</f>
        <v/>
      </c>
    </row>
    <row r="29">
      <c r="A29" s="7" t="inlineStr">
        <is>
          <t>Free cash flow to discount</t>
        </is>
      </c>
      <c r="C29" s="25">
        <f>C27*C28</f>
        <v/>
      </c>
      <c r="D29" s="25">
        <f>D27*D28</f>
        <v/>
      </c>
      <c r="E29" s="25">
        <f>E27*E28</f>
        <v/>
      </c>
      <c r="F29" s="25">
        <f>F27*F28</f>
        <v/>
      </c>
      <c r="G29" s="25">
        <f>G27*G28</f>
        <v/>
      </c>
    </row>
    <row r="30">
      <c r="A30" s="7" t="inlineStr">
        <is>
          <t>Discount period (years)</t>
        </is>
      </c>
      <c r="C30" s="38">
        <f>(C19-$B$5)/365</f>
        <v/>
      </c>
      <c r="D30" s="38">
        <f>(D19-$B$5)/365</f>
        <v/>
      </c>
      <c r="E30" s="38">
        <f>(E19-$B$5)/365</f>
        <v/>
      </c>
      <c r="F30" s="38">
        <f>(F19-$B$5)/365</f>
        <v/>
      </c>
      <c r="G30" s="38">
        <f>(G19-$B$5)/365</f>
        <v/>
      </c>
    </row>
    <row r="31">
      <c r="A31" s="7" t="inlineStr">
        <is>
          <t>Discount factor</t>
        </is>
      </c>
      <c r="C31" s="39">
        <f>1/(1+$B$15)^C30</f>
        <v/>
      </c>
      <c r="D31" s="39">
        <f>1/(1+$B$15)^D30</f>
        <v/>
      </c>
      <c r="E31" s="39">
        <f>1/(1+$B$15)^E30</f>
        <v/>
      </c>
      <c r="F31" s="39">
        <f>1/(1+$B$15)^F30</f>
        <v/>
      </c>
      <c r="G31" s="39">
        <f>1/(1+$B$15)^G30</f>
        <v/>
      </c>
    </row>
    <row r="32">
      <c r="A32" s="3" t="inlineStr">
        <is>
          <t>Present value of free cash flow</t>
        </is>
      </c>
      <c r="C32" s="24">
        <f>C29*C31</f>
        <v/>
      </c>
      <c r="D32" s="24">
        <f>D29*D31</f>
        <v/>
      </c>
      <c r="E32" s="24">
        <f>E29*E31</f>
        <v/>
      </c>
      <c r="F32" s="24">
        <f>F29*F31</f>
        <v/>
      </c>
      <c r="G32" s="24">
        <f>G29*G31</f>
        <v/>
      </c>
    </row>
    <row r="34">
      <c r="A34" s="11" t="inlineStr">
        <is>
          <t>Valuation</t>
        </is>
      </c>
      <c r="B34" s="12" t="n"/>
      <c r="C34" s="12" t="n"/>
      <c r="D34" s="12" t="n"/>
      <c r="E34" s="12" t="n"/>
      <c r="F34" s="12" t="n"/>
      <c r="G34" s="12" t="n"/>
      <c r="H34" s="12" t="n"/>
    </row>
    <row r="35">
      <c r="A35" s="7" t="inlineStr">
        <is>
          <t>Sum of PV of free cash flow, FY2026E-FY2030E</t>
        </is>
      </c>
      <c r="B35" s="25">
        <f>SUM(C32:G32)</f>
        <v/>
      </c>
    </row>
    <row r="36">
      <c r="A36" s="7" t="inlineStr">
        <is>
          <t>Terminal value at end of FY2030E (Gordon growth)</t>
        </is>
      </c>
      <c r="B36" s="25">
        <f>G27*(1+B16)/(B15-B16)</f>
        <v/>
      </c>
    </row>
    <row r="37">
      <c r="A37" s="7" t="inlineStr">
        <is>
          <t>PV of terminal value</t>
        </is>
      </c>
      <c r="B37" s="25">
        <f>B36*G31</f>
        <v/>
      </c>
    </row>
    <row r="38">
      <c r="A38" s="3" t="inlineStr">
        <is>
          <t>Enterprise value (NPV)</t>
        </is>
      </c>
      <c r="B38" s="40">
        <f>B35+B37</f>
        <v/>
      </c>
    </row>
    <row r="39">
      <c r="A39" s="7" t="inlineStr">
        <is>
          <t>Less: term loan outstanding</t>
        </is>
      </c>
      <c r="B39" s="37">
        <f>-Assumptions!B27</f>
        <v/>
      </c>
      <c r="H39" s="14" t="inlineStr">
        <is>
          <t>Amortization is paid in December, so the 31-Dec-2025 balance is still outstanding</t>
        </is>
      </c>
    </row>
    <row r="40">
      <c r="A40" s="7" t="inlineStr">
        <is>
          <t>Add: cash</t>
        </is>
      </c>
      <c r="B40" s="37">
        <f>Assumptions!B30</f>
        <v/>
      </c>
    </row>
    <row r="41">
      <c r="A41" s="3" t="inlineStr">
        <is>
          <t>Equity value</t>
        </is>
      </c>
      <c r="B41" s="40">
        <f>SUM(B38:B40)</f>
        <v/>
      </c>
    </row>
    <row r="42">
      <c r="A42" s="7" t="inlineStr">
        <is>
          <t>Implied EV / FY2026E EBITDA</t>
        </is>
      </c>
      <c r="B42" s="41">
        <f>B38/'P&amp;L'!C27</f>
        <v/>
      </c>
    </row>
    <row r="43">
      <c r="A43" s="7" t="inlineStr">
        <is>
          <t>Terminal value share of enterprise value</t>
        </is>
      </c>
      <c r="B43" s="16">
        <f>B37/B38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Calder &amp; Finch FP&amp;A</dc:creator>
  <dc:title>Calder &amp; Finch Home - Operating Model &amp; DCF</dc:title>
  <dcterms:created xsi:type="dcterms:W3CDTF">2026-08-01T09:30:00Z</dcterms:created>
  <dcterms:modified xsi:type="dcterms:W3CDTF">2026-10-10T21:11:21Z</dcterms:modified>
</cp:coreProperties>
</file>