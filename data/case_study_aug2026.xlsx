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sheetId="2" r:id="rId6"/>
    <sheet name="Assumptions" sheetId="3" r:id="rId7"/>
    <sheet name="P&amp;L" sheetId="4" r:id="rId8"/>
    <sheet name="DCF" sheetId="5" r:id="rId9"/>
  </sheets>
</workbook>
</file>

<file path=xl/sharedStrings.xml><?xml version="1.0" encoding="utf-8"?>
<sst xmlns="http://schemas.openxmlformats.org/spreadsheetml/2006/main" uniqueCount="177">
  <si>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</si>
  <si>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</si>
  <si>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</si>
  <si>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</si>
  <si>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t>
  </si>
  <si>
    <t>Table 1</t>
  </si>
  <si>
    <t>Calder &amp; Finch Home, Inc.</t>
  </si>
  <si>
    <t>Five-year operating model and DCF valuation</t>
  </si>
  <si>
    <t>Model date</t>
  </si>
  <si>
    <t>Market inputs as of</t>
  </si>
  <si>
    <t>Close of 31-Jul-2026</t>
  </si>
  <si>
    <t>Prepared by</t>
  </si>
  <si>
    <t>FP&amp;A / Corporate Development</t>
  </si>
  <si>
    <t>Version</t>
  </si>
  <si>
    <t>v3 - board pre-read, August 2026</t>
  </si>
  <si>
    <t>Currency / units</t>
  </si>
  <si>
    <t>US$ millions unless noted</t>
  </si>
  <si>
    <t>Fiscal year</t>
  </si>
  <si>
    <t>Calendar year (FY2026 = Jan-Dec 2026)</t>
  </si>
  <si>
    <t>Business</t>
  </si>
  <si>
    <t>US designer and wholesaler of residential furniture (seating, casegoods, outdoor). Sources from Vietnam, Canada, the EU and US domestic plants; sells to retailers and DTC.</t>
  </si>
  <si>
    <t>Tabs</t>
  </si>
  <si>
    <t>Assumptions</t>
  </si>
  <si>
    <t>Operating, market, policy and financing inputs</t>
  </si>
  <si>
    <t>P&amp;L</t>
  </si>
  <si>
    <t>Revenue build, cost of goods, EBITDA, interest, net income</t>
  </si>
  <si>
    <t>DCF</t>
  </si>
  <si>
    <t>WACC, unlevered free cash flow, NPV / enterprise and equity value</t>
  </si>
  <si>
    <t>Colour legend</t>
  </si>
  <si>
    <t>1,234</t>
  </si>
  <si>
    <t>Hardcoded input</t>
  </si>
  <si>
    <t>Formula</t>
  </si>
  <si>
    <t>Link to another tab</t>
  </si>
  <si>
    <t>Key output</t>
  </si>
  <si>
    <t>Calder &amp; Finch Home, Inc. - Assumptions</t>
  </si>
  <si>
    <t>Model date 1-Aug-2026. Market inputs at close of 31-Jul-2026. US$ millions unless noted.</t>
  </si>
  <si>
    <t>Revenue and cost structure</t>
  </si>
  <si>
    <t>Value</t>
  </si>
  <si>
    <t>Unit</t>
  </si>
  <si>
    <t>Source / note</t>
  </si>
  <si>
    <t>FY2025A net revenue</t>
  </si>
  <si>
    <t>$mm</t>
  </si>
  <si>
    <t>FY2025 audited financial statements</t>
  </si>
  <si>
    <t>Purchases from non-EU suppliers, % of revenue</t>
  </si>
  <si>
    <t>%</t>
  </si>
  <si>
    <t>FY2025A actual mix</t>
  </si>
  <si>
    <t xml:space="preserve">   of which Vietnam</t>
  </si>
  <si>
    <t>% of non-EU</t>
  </si>
  <si>
    <t>2026 sourcing plan</t>
  </si>
  <si>
    <t xml:space="preserve">   of which Canada</t>
  </si>
  <si>
    <t>2026 sourcing plan (Quebec and Ontario plants)</t>
  </si>
  <si>
    <t xml:space="preserve">   of which US domestic</t>
  </si>
  <si>
    <t>Balance</t>
  </si>
  <si>
    <t>EU supplier contract volume, FY2026E</t>
  </si>
  <si>
    <t>€mm</t>
  </si>
  <si>
    <t>2026 supplier contracts, priced in EUR (Italy, Portugal)</t>
  </si>
  <si>
    <t>Containers imported from Asia, FY2026E</t>
  </si>
  <si>
    <t>FEU</t>
  </si>
  <si>
    <t>2026 logistics plan (40ft equivalent units)</t>
  </si>
  <si>
    <t>Oil-linked consumption, FY2026E</t>
  </si>
  <si>
    <t>000 bbl-eq</t>
  </si>
  <si>
    <t>Procurement estimate: foam, poly, packaging, diesel</t>
  </si>
  <si>
    <t>SG&amp;A, % of revenue</t>
  </si>
  <si>
    <t>FY2025A run-rate</t>
  </si>
  <si>
    <t>Warehousing and distribution, % of revenue</t>
  </si>
  <si>
    <t>D&amp;A, % of revenue</t>
  </si>
  <si>
    <t>Capex, % of revenue</t>
  </si>
  <si>
    <t>Five-year capital plan</t>
  </si>
  <si>
    <t>Net working capital, % of revenue</t>
  </si>
  <si>
    <t>FY2025A actual</t>
  </si>
  <si>
    <t>Market and policy inputs (close of 31-Jul-2026)</t>
  </si>
  <si>
    <t>Brent crude oil</t>
  </si>
  <si>
    <t>$/bbl</t>
  </si>
  <si>
    <t>EIA Europe Brent spot, FRED series DCOILBRENTEU, 31-Jul-2026</t>
  </si>
  <si>
    <t>EUR/USD exchange rate</t>
  </si>
  <si>
    <t>$ per €</t>
  </si>
  <si>
    <t>Fed H.10 noon buying rate, FRED series DEXUSEU, 31-Jul-2026</t>
  </si>
  <si>
    <t>Tariff on Vietnam-origin furniture</t>
  </si>
  <si>
    <t>USTR Section 301 forced-labor action, in force 24-Jul-2026</t>
  </si>
  <si>
    <t>Tariff on Canada-origin furniture</t>
  </si>
  <si>
    <t>USMCA-qualifying goods enter duty-free</t>
  </si>
  <si>
    <t>US federal corporate income tax rate</t>
  </si>
  <si>
    <t>IRC section 11(b)</t>
  </si>
  <si>
    <t>Financing</t>
  </si>
  <si>
    <t>Term loan balance, 31-Dec-2025</t>
  </si>
  <si>
    <t>Credit agreement dated 14-Mar-2024; amortization paid each December</t>
  </si>
  <si>
    <t>Scheduled amortization, % of original balance per year</t>
  </si>
  <si>
    <t>Credit agreement</t>
  </si>
  <si>
    <t>Term loan margin over SOFR</t>
  </si>
  <si>
    <t>Credit agreement, current leverage grid</t>
  </si>
  <si>
    <t>Cash, 31-Jul-2026</t>
  </si>
  <si>
    <t>July 2026 management accounts</t>
  </si>
  <si>
    <t>Revenue growth</t>
  </si>
  <si>
    <t>FY2026E</t>
  </si>
  <si>
    <t>FY2027E</t>
  </si>
  <si>
    <t>FY2028E</t>
  </si>
  <si>
    <t>FY2029E</t>
  </si>
  <si>
    <t>FY2030E</t>
  </si>
  <si>
    <t>Net revenue growth, year on year</t>
  </si>
  <si>
    <t>Management plan, June 2026</t>
  </si>
  <si>
    <t>Calder &amp; Finch Home, Inc. - Income Statement</t>
  </si>
  <si>
    <t>FY2025A</t>
  </si>
  <si>
    <t>Net revenue</t>
  </si>
  <si>
    <t>Cost of goods sold</t>
  </si>
  <si>
    <t>Purchases, non-EU suppliers</t>
  </si>
  <si>
    <t xml:space="preserve">   Vietnam</t>
  </si>
  <si>
    <t xml:space="preserve">   Canada</t>
  </si>
  <si>
    <t xml:space="preserve">   US domestic</t>
  </si>
  <si>
    <t>EU purchases (€mm)</t>
  </si>
  <si>
    <t>EU purchases ($mm)</t>
  </si>
  <si>
    <t>Import tariffs, Vietnam</t>
  </si>
  <si>
    <t>Import tariffs, Canada</t>
  </si>
  <si>
    <t>Containers imported (FEU)</t>
  </si>
  <si>
    <t>Ocean freight, Asia to US West Coast</t>
  </si>
  <si>
    <t>Oil-linked consumption (000 bbl-eq)</t>
  </si>
  <si>
    <t>Oil-linked materials and fuel</t>
  </si>
  <si>
    <t>Total cost of goods sold</t>
  </si>
  <si>
    <t>Gross profit</t>
  </si>
  <si>
    <t xml:space="preserve">   Gross margin</t>
  </si>
  <si>
    <t>SG&amp;A</t>
  </si>
  <si>
    <t>Warehousing and distribution</t>
  </si>
  <si>
    <t>EBITDA</t>
  </si>
  <si>
    <t xml:space="preserve">   EBITDA margin</t>
  </si>
  <si>
    <t>Depreciation and amortization</t>
  </si>
  <si>
    <t>EBIT</t>
  </si>
  <si>
    <t>Term loan, opening</t>
  </si>
  <si>
    <t>Term loan, closing</t>
  </si>
  <si>
    <t>Interest rate (SOFR + margin)</t>
  </si>
  <si>
    <t>Interest expense</t>
  </si>
  <si>
    <t>Pre-tax income</t>
  </si>
  <si>
    <t>Income tax</t>
  </si>
  <si>
    <t>Net income</t>
  </si>
  <si>
    <t>Calder &amp; Finch Home, Inc. - DCF Valuation</t>
  </si>
  <si>
    <t>US$ millions unless noted. Unlevered free cash flow, end-of-period discounting.</t>
  </si>
  <si>
    <t>Discount rate (WACC)</t>
  </si>
  <si>
    <t>Valuation date</t>
  </si>
  <si>
    <t>Risk-free rate (10-year US Treasury)</t>
  </si>
  <si>
    <t>FRED series DGS10, 31-Jul-2026</t>
  </si>
  <si>
    <t>Equity risk premium</t>
  </si>
  <si>
    <t>House view</t>
  </si>
  <si>
    <t>Levered beta</t>
  </si>
  <si>
    <t>Median of listed furniture peers, 2-year weekly</t>
  </si>
  <si>
    <t>Size premium</t>
  </si>
  <si>
    <t>Cost of equity</t>
  </si>
  <si>
    <t>CAPM + size premium</t>
  </si>
  <si>
    <t>Pre-tax cost of debt</t>
  </si>
  <si>
    <t>Term loan all-in rate, FY2026E</t>
  </si>
  <si>
    <t>Tax rate</t>
  </si>
  <si>
    <t>After-tax cost of debt</t>
  </si>
  <si>
    <t>Target debt / total capital</t>
  </si>
  <si>
    <t>Board-approved capital structure</t>
  </si>
  <si>
    <t>WACC</t>
  </si>
  <si>
    <t>Terminal growth rate</t>
  </si>
  <si>
    <t>House view, long-run nominal growth</t>
  </si>
  <si>
    <t>Unlevered free cash flow</t>
  </si>
  <si>
    <t>Fiscal year end</t>
  </si>
  <si>
    <t>Less: depreciation and amortization</t>
  </si>
  <si>
    <t>Less: taxes on EBIT</t>
  </si>
  <si>
    <t>Add back: depreciation and amortization</t>
  </si>
  <si>
    <t>Less: capex</t>
  </si>
  <si>
    <t>Less: increase in net working capital</t>
  </si>
  <si>
    <t>Share of year after valuation date</t>
  </si>
  <si>
    <t>Free cash flow to discount</t>
  </si>
  <si>
    <t>Discount period (years)</t>
  </si>
  <si>
    <t>Discount factor</t>
  </si>
  <si>
    <t>Present value of free cash flow</t>
  </si>
  <si>
    <t>Valuation</t>
  </si>
  <si>
    <t>Sum of PV of free cash flow, FY2026E-FY2030E</t>
  </si>
  <si>
    <t>Terminal value at end of FY2030E (Gordon growth)</t>
  </si>
  <si>
    <t>PV of terminal value</t>
  </si>
  <si>
    <t>Enterprise value (NPV)</t>
  </si>
  <si>
    <t>Less: term loan outstanding</t>
  </si>
  <si>
    <t>Amortization is paid in December, so the 31-Dec-2025 balance is still outstanding</t>
  </si>
  <si>
    <t>Add: cash</t>
  </si>
  <si>
    <t>Equity value</t>
  </si>
  <si>
    <t>Implied EV / FY2026E EBITDA</t>
  </si>
  <si>
    <t>Terminal value share of enterprise value</t>
  </si>
</sst>
</file>

<file path=xl/styles.xml><?xml version="1.0" encoding="utf-8"?>
<styleSheet xmlns="http://schemas.openxmlformats.org/spreadsheetml/2006/main">
  <numFmts count="9">
    <numFmt numFmtId="0" formatCode="General"/>
    <numFmt numFmtId="59" formatCode="d-mmm-yyyy"/>
    <numFmt numFmtId="60" formatCode="#,##0.0;(#,##0.0);&quot;–&quot;"/>
    <numFmt numFmtId="61" formatCode="0.0%;(0.0%);&quot;–&quot;"/>
    <numFmt numFmtId="62" formatCode="#,##0;(#,##0);&quot;–&quot;"/>
    <numFmt numFmtId="63" formatCode="&quot;$&quot;#,##0.00"/>
    <numFmt numFmtId="64" formatCode="0.0000"/>
    <numFmt numFmtId="65" formatCode="0.00%;(0.00%);&quot;–&quot;"/>
    <numFmt numFmtId="66" formatCode="0.0&quot;x&quot;"/>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Arial"/>
    </font>
    <font>
      <i val="1"/>
      <sz val="10"/>
      <color indexed="13"/>
      <name val="Arial"/>
    </font>
    <font>
      <b val="1"/>
      <sz val="10"/>
      <color indexed="8"/>
      <name val="Arial"/>
    </font>
    <font>
      <sz val="10"/>
      <color indexed="8"/>
      <name val="Arial"/>
    </font>
    <font>
      <sz val="10"/>
      <color indexed="11"/>
      <name val="Arial"/>
    </font>
    <font>
      <sz val="10"/>
      <color indexed="15"/>
      <name val="Arial"/>
    </font>
    <font>
      <b val="1"/>
      <sz val="10"/>
      <color indexed="14"/>
      <name val="Arial"/>
    </font>
    <font>
      <i val="1"/>
      <sz val="9"/>
      <color indexed="13"/>
      <name val="Arial"/>
    </font>
    <font>
      <b val="1"/>
      <sz val="10"/>
      <color indexed="15"/>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19">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top style="thin">
        <color indexed="8"/>
      </top>
      <bottom style="thin">
        <color indexed="12"/>
      </bottom>
      <diagonal/>
    </border>
    <border>
      <left/>
      <right/>
      <top style="thin">
        <color indexed="8"/>
      </top>
      <bottom style="thin">
        <color indexed="12"/>
      </bottom>
      <diagonal/>
    </border>
    <border>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9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59" fontId="9" borderId="5" applyNumberFormat="1" applyFont="1" applyFill="0" applyBorder="1" applyAlignment="1" applyProtection="0">
      <alignment horizontal="left" vertical="bottom"/>
    </xf>
    <xf numFmtId="49" fontId="9" borderId="5" applyNumberFormat="1" applyFont="1" applyFill="0" applyBorder="1" applyAlignment="1" applyProtection="0">
      <alignment horizontal="left" vertical="bottom"/>
    </xf>
    <xf numFmtId="49" fontId="9" fillId="4" borderId="5" applyNumberFormat="1" applyFont="1" applyFill="1" applyBorder="1" applyAlignment="1" applyProtection="0">
      <alignment vertical="top" wrapText="1"/>
    </xf>
    <xf numFmtId="49" fontId="9"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9" fillId="5" borderId="8" applyNumberFormat="0" applyFont="1" applyFill="1" applyBorder="1" applyAlignment="1" applyProtection="0">
      <alignment vertical="bottom"/>
    </xf>
    <xf numFmtId="49" fontId="9"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7" borderId="4" applyNumberFormat="1" applyFont="1" applyFill="0" applyBorder="1" applyAlignment="1" applyProtection="0">
      <alignment vertical="bottom"/>
    </xf>
    <xf numFmtId="49" fontId="12" fillId="6" borderId="4" applyNumberFormat="1" applyFont="1" applyFill="1" applyBorder="1" applyAlignment="1" applyProtection="0">
      <alignment vertical="bottom"/>
    </xf>
    <xf numFmtId="49" fontId="12" fillId="6" borderId="5" applyNumberFormat="1" applyFont="1" applyFill="1" applyBorder="1" applyAlignment="1" applyProtection="0">
      <alignment vertical="bottom"/>
    </xf>
    <xf numFmtId="0" fontId="0" fillId="6" borderId="5" applyNumberFormat="0" applyFont="1" applyFill="1" applyBorder="1" applyAlignment="1" applyProtection="0">
      <alignment vertical="bottom"/>
    </xf>
    <xf numFmtId="49" fontId="12" fillId="6" borderId="6" applyNumberFormat="1" applyFont="1" applyFill="1" applyBorder="1" applyAlignment="1" applyProtection="0">
      <alignment vertical="bottom"/>
    </xf>
    <xf numFmtId="49" fontId="9" borderId="4" applyNumberFormat="1" applyFont="1" applyFill="0" applyBorder="1" applyAlignment="1" applyProtection="0">
      <alignment vertical="bottom"/>
    </xf>
    <xf numFmtId="60" fontId="10" borderId="5" applyNumberFormat="1" applyFont="1" applyFill="0" applyBorder="1" applyAlignment="1" applyProtection="0">
      <alignment vertical="bottom"/>
    </xf>
    <xf numFmtId="49" fontId="13" borderId="6" applyNumberFormat="1" applyFont="1" applyFill="0" applyBorder="1" applyAlignment="1" applyProtection="0">
      <alignment vertical="bottom"/>
    </xf>
    <xf numFmtId="61" fontId="10" borderId="5" applyNumberFormat="1" applyFont="1" applyFill="0" applyBorder="1" applyAlignment="1" applyProtection="0">
      <alignment vertical="bottom"/>
    </xf>
    <xf numFmtId="61" fontId="9" borderId="5" applyNumberFormat="1" applyFont="1" applyFill="0" applyBorder="1" applyAlignment="1" applyProtection="0">
      <alignment vertical="bottom"/>
    </xf>
    <xf numFmtId="62" fontId="10" borderId="5" applyNumberFormat="1" applyFont="1" applyFill="0" applyBorder="1" applyAlignment="1" applyProtection="0">
      <alignment vertical="bottom"/>
    </xf>
    <xf numFmtId="0" fontId="0" fillId="6" borderId="6" applyNumberFormat="0" applyFont="1" applyFill="1" applyBorder="1" applyAlignment="1" applyProtection="0">
      <alignment vertical="bottom"/>
    </xf>
    <xf numFmtId="63" fontId="10" borderId="5" applyNumberFormat="1" applyFont="1" applyFill="0" applyBorder="1" applyAlignment="1" applyProtection="0">
      <alignment vertical="bottom"/>
    </xf>
    <xf numFmtId="64" fontId="10" borderId="5" applyNumberFormat="1" applyFont="1" applyFill="0" applyBorder="1" applyAlignment="1" applyProtection="0">
      <alignment vertical="bottom"/>
    </xf>
    <xf numFmtId="65" fontId="10" borderId="5" applyNumberFormat="1" applyFont="1" applyFill="0" applyBorder="1" applyAlignment="1" applyProtection="0">
      <alignment vertical="bottom"/>
    </xf>
    <xf numFmtId="49" fontId="12" fillId="6" borderId="5" applyNumberFormat="1" applyFont="1" applyFill="1" applyBorder="1" applyAlignment="1" applyProtection="0">
      <alignment horizontal="right" vertical="bottom"/>
    </xf>
    <xf numFmtId="49" fontId="9" borderId="7" applyNumberFormat="1" applyFont="1" applyFill="0" applyBorder="1" applyAlignment="1" applyProtection="0">
      <alignment vertical="bottom"/>
    </xf>
    <xf numFmtId="61" fontId="10" borderId="8" applyNumberFormat="1" applyFont="1" applyFill="0" applyBorder="1" applyAlignment="1" applyProtection="0">
      <alignment vertical="bottom"/>
    </xf>
    <xf numFmtId="49" fontId="13" borderId="9" applyNumberFormat="1" applyFont="1" applyFill="0" applyBorder="1" applyAlignment="1" applyProtection="0">
      <alignment vertical="bottom"/>
    </xf>
    <xf numFmtId="0" fontId="0" applyNumberFormat="1" applyFont="1" applyFill="0" applyBorder="0" applyAlignment="1" applyProtection="0">
      <alignment vertical="bottom"/>
    </xf>
    <xf numFmtId="0" fontId="12" fillId="6" borderId="4" applyNumberFormat="0" applyFont="1" applyFill="1" applyBorder="1" applyAlignment="1" applyProtection="0">
      <alignment vertical="bottom"/>
    </xf>
    <xf numFmtId="49" fontId="12" fillId="6" borderId="6" applyNumberFormat="1" applyFont="1" applyFill="1" applyBorder="1" applyAlignment="1" applyProtection="0">
      <alignment horizontal="right" vertical="bottom"/>
    </xf>
    <xf numFmtId="61" fontId="11" borderId="5" applyNumberFormat="1" applyFont="1" applyFill="0" applyBorder="1" applyAlignment="1" applyProtection="0">
      <alignment vertical="bottom"/>
    </xf>
    <xf numFmtId="61" fontId="11" borderId="6" applyNumberFormat="1" applyFont="1" applyFill="0" applyBorder="1" applyAlignment="1" applyProtection="0">
      <alignment vertical="bottom"/>
    </xf>
    <xf numFmtId="49" fontId="8" borderId="4" applyNumberFormat="1" applyFont="1" applyFill="0" applyBorder="1" applyAlignment="1" applyProtection="0">
      <alignment vertical="bottom"/>
    </xf>
    <xf numFmtId="60" fontId="14" borderId="5" applyNumberFormat="1" applyFont="1" applyFill="0" applyBorder="1" applyAlignment="1" applyProtection="0">
      <alignment vertical="bottom"/>
    </xf>
    <xf numFmtId="60" fontId="8" borderId="5" applyNumberFormat="1" applyFont="1" applyFill="0" applyBorder="1" applyAlignment="1" applyProtection="0">
      <alignment vertical="bottom"/>
    </xf>
    <xf numFmtId="60" fontId="8" borderId="6" applyNumberFormat="1" applyFont="1" applyFill="0" applyBorder="1" applyAlignment="1" applyProtection="0">
      <alignment vertical="bottom"/>
    </xf>
    <xf numFmtId="60" fontId="9" borderId="5" applyNumberFormat="1" applyFont="1" applyFill="0" applyBorder="1" applyAlignment="1" applyProtection="0">
      <alignment vertical="bottom"/>
    </xf>
    <xf numFmtId="60" fontId="9" borderId="6" applyNumberFormat="1" applyFont="1" applyFill="0" applyBorder="1" applyAlignment="1" applyProtection="0">
      <alignment vertical="bottom"/>
    </xf>
    <xf numFmtId="62" fontId="9" borderId="5" applyNumberFormat="1" applyFont="1" applyFill="0" applyBorder="1" applyAlignment="1" applyProtection="0">
      <alignment vertical="bottom"/>
    </xf>
    <xf numFmtId="62" fontId="9" borderId="6" applyNumberFormat="1" applyFont="1" applyFill="0" applyBorder="1" applyAlignment="1" applyProtection="0">
      <alignment vertical="bottom"/>
    </xf>
    <xf numFmtId="49" fontId="9" borderId="10" applyNumberFormat="1" applyFont="1" applyFill="0" applyBorder="1" applyAlignment="1" applyProtection="0">
      <alignment vertical="bottom"/>
    </xf>
    <xf numFmtId="60" fontId="9" borderId="11" applyNumberFormat="1" applyFont="1" applyFill="0" applyBorder="1" applyAlignment="1" applyProtection="0">
      <alignment vertical="bottom"/>
    </xf>
    <xf numFmtId="60" fontId="9" borderId="12" applyNumberFormat="1" applyFont="1" applyFill="0" applyBorder="1" applyAlignment="1" applyProtection="0">
      <alignment vertical="bottom"/>
    </xf>
    <xf numFmtId="49" fontId="9" borderId="13" applyNumberFormat="1" applyFont="1" applyFill="0" applyBorder="1" applyAlignment="1" applyProtection="0">
      <alignment vertical="bottom"/>
    </xf>
    <xf numFmtId="60" fontId="9" borderId="14" applyNumberFormat="1" applyFont="1" applyFill="0" applyBorder="1" applyAlignment="1" applyProtection="0">
      <alignment vertical="bottom"/>
    </xf>
    <xf numFmtId="60" fontId="9" borderId="15" applyNumberFormat="1" applyFont="1" applyFill="0" applyBorder="1" applyAlignment="1" applyProtection="0">
      <alignment vertical="bottom"/>
    </xf>
    <xf numFmtId="61" fontId="9" borderId="6" applyNumberFormat="1" applyFont="1" applyFill="0" applyBorder="1" applyAlignment="1" applyProtection="0">
      <alignment vertical="bottom"/>
    </xf>
    <xf numFmtId="49" fontId="8" borderId="13" applyNumberFormat="1" applyFont="1" applyFill="0" applyBorder="1" applyAlignment="1" applyProtection="0">
      <alignment vertical="bottom"/>
    </xf>
    <xf numFmtId="60" fontId="8" fillId="5" borderId="14" applyNumberFormat="1" applyFont="1" applyFill="1" applyBorder="1" applyAlignment="1" applyProtection="0">
      <alignment vertical="bottom"/>
    </xf>
    <xf numFmtId="60" fontId="8" fillId="5" borderId="15" applyNumberFormat="1" applyFont="1" applyFill="1" applyBorder="1" applyAlignment="1" applyProtection="0">
      <alignment vertical="bottom"/>
    </xf>
    <xf numFmtId="60" fontId="8" borderId="14" applyNumberFormat="1" applyFont="1" applyFill="0" applyBorder="1" applyAlignment="1" applyProtection="0">
      <alignment vertical="bottom"/>
    </xf>
    <xf numFmtId="60" fontId="8" borderId="15" applyNumberFormat="1" applyFont="1" applyFill="0" applyBorder="1" applyAlignment="1" applyProtection="0">
      <alignment vertical="bottom"/>
    </xf>
    <xf numFmtId="65" fontId="9" borderId="5" applyNumberFormat="1" applyFont="1" applyFill="0" applyBorder="1" applyAlignment="1" applyProtection="0">
      <alignment vertical="bottom"/>
    </xf>
    <xf numFmtId="65" fontId="9" borderId="6" applyNumberFormat="1" applyFont="1" applyFill="0" applyBorder="1" applyAlignment="1" applyProtection="0">
      <alignment vertical="bottom"/>
    </xf>
    <xf numFmtId="49" fontId="8" borderId="16" applyNumberFormat="1" applyFont="1" applyFill="0" applyBorder="1" applyAlignment="1" applyProtection="0">
      <alignment vertical="bottom"/>
    </xf>
    <xf numFmtId="60" fontId="8" borderId="17" applyNumberFormat="1" applyFont="1" applyFill="0" applyBorder="1" applyAlignment="1" applyProtection="0">
      <alignment vertical="bottom"/>
    </xf>
    <xf numFmtId="60" fontId="8" borderId="18" applyNumberFormat="1" applyFont="1" applyFill="0" applyBorder="1" applyAlignment="1" applyProtection="0">
      <alignment vertical="bottom"/>
    </xf>
    <xf numFmtId="0" fontId="0" applyNumberFormat="1" applyFont="1" applyFill="0" applyBorder="0" applyAlignment="1" applyProtection="0">
      <alignment vertical="bottom"/>
    </xf>
    <xf numFmtId="59" fontId="9" borderId="5" applyNumberFormat="1" applyFont="1" applyFill="0" applyBorder="1" applyAlignment="1" applyProtection="0">
      <alignment vertical="bottom"/>
    </xf>
    <xf numFmtId="2" fontId="10" borderId="5" applyNumberFormat="1" applyFont="1" applyFill="0" applyBorder="1" applyAlignment="1" applyProtection="0">
      <alignment vertical="bottom"/>
    </xf>
    <xf numFmtId="65" fontId="11" borderId="5" applyNumberFormat="1" applyFont="1" applyFill="0" applyBorder="1" applyAlignment="1" applyProtection="0">
      <alignment vertical="bottom"/>
    </xf>
    <xf numFmtId="0" fontId="13" borderId="6" applyNumberFormat="0" applyFont="1" applyFill="0" applyBorder="1" applyAlignment="1" applyProtection="0">
      <alignment vertical="bottom"/>
    </xf>
    <xf numFmtId="65" fontId="8" borderId="5" applyNumberFormat="1" applyFont="1" applyFill="0" applyBorder="1" applyAlignment="1" applyProtection="0">
      <alignment vertical="bottom"/>
    </xf>
    <xf numFmtId="60" fontId="11" borderId="5" applyNumberFormat="1" applyFont="1" applyFill="0" applyBorder="1" applyAlignment="1" applyProtection="0">
      <alignment vertical="bottom"/>
    </xf>
    <xf numFmtId="60" fontId="11" borderId="11" applyNumberFormat="1" applyFont="1" applyFill="0" applyBorder="1" applyAlignment="1" applyProtection="0">
      <alignment vertical="bottom"/>
    </xf>
    <xf numFmtId="2" fontId="9" borderId="5" applyNumberFormat="1" applyFont="1" applyFill="0" applyBorder="1" applyAlignment="1" applyProtection="0">
      <alignment vertical="bottom"/>
    </xf>
    <xf numFmtId="64" fontId="9" borderId="5" applyNumberFormat="1" applyFont="1" applyFill="0" applyBorder="1" applyAlignment="1" applyProtection="0">
      <alignment vertical="bottom"/>
    </xf>
    <xf numFmtId="60" fontId="8" fillId="5" borderId="5" applyNumberFormat="1" applyFont="1" applyFill="1" applyBorder="1" applyAlignment="1" applyProtection="0">
      <alignment vertical="bottom"/>
    </xf>
    <xf numFmtId="66" fontId="11" borderId="5" applyNumberFormat="1" applyFont="1" applyFill="0" applyBorder="1" applyAlignment="1" applyProtection="0">
      <alignment vertical="bottom"/>
    </xf>
    <xf numFmtId="61" fontId="9" borderId="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595959"/>
      <rgbColor rgb="ffffffff"/>
      <rgbColor rgb="ff008000"/>
      <rgbColor rgb="ffffff00"/>
      <rgbColor rgb="ff1f386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2.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3" style="6" customWidth="1"/>
    <col min="2" max="2" width="28" style="6" customWidth="1"/>
    <col min="3" max="3" width="70" style="6" customWidth="1"/>
    <col min="4" max="5" width="8.85156" style="6" customWidth="1"/>
    <col min="6" max="16384" width="8.85156" style="6" customWidth="1"/>
  </cols>
  <sheetData>
    <row r="1" ht="13.55" customHeight="1">
      <c r="A1" s="7"/>
      <c r="B1" s="8"/>
      <c r="C1" s="8"/>
      <c r="D1" s="8"/>
      <c r="E1" s="9"/>
    </row>
    <row r="2" ht="18.5" customHeight="1">
      <c r="A2" s="10"/>
      <c r="B2" t="s" s="11">
        <v>6</v>
      </c>
      <c r="C2" s="12"/>
      <c r="D2" s="12"/>
      <c r="E2" s="13"/>
    </row>
    <row r="3" ht="13.65" customHeight="1">
      <c r="A3" s="10"/>
      <c r="B3" t="s" s="14">
        <v>7</v>
      </c>
      <c r="C3" s="12"/>
      <c r="D3" s="12"/>
      <c r="E3" s="13"/>
    </row>
    <row r="4" ht="13.55" customHeight="1">
      <c r="A4" s="10"/>
      <c r="B4" s="12"/>
      <c r="C4" s="12"/>
      <c r="D4" s="12"/>
      <c r="E4" s="13"/>
    </row>
    <row r="5" ht="13.65" customHeight="1">
      <c r="A5" s="10"/>
      <c r="B5" t="s" s="15">
        <v>8</v>
      </c>
      <c r="C5" s="16">
        <v>46235</v>
      </c>
      <c r="D5" s="12"/>
      <c r="E5" s="13"/>
    </row>
    <row r="6" ht="13.65" customHeight="1">
      <c r="A6" s="10"/>
      <c r="B6" t="s" s="15">
        <v>9</v>
      </c>
      <c r="C6" t="s" s="17">
        <v>10</v>
      </c>
      <c r="D6" s="12"/>
      <c r="E6" s="13"/>
    </row>
    <row r="7" ht="13.65" customHeight="1">
      <c r="A7" s="10"/>
      <c r="B7" t="s" s="15">
        <v>11</v>
      </c>
      <c r="C7" t="s" s="17">
        <v>12</v>
      </c>
      <c r="D7" s="12"/>
      <c r="E7" s="13"/>
    </row>
    <row r="8" ht="13.65" customHeight="1">
      <c r="A8" s="10"/>
      <c r="B8" t="s" s="15">
        <v>13</v>
      </c>
      <c r="C8" t="s" s="17">
        <v>14</v>
      </c>
      <c r="D8" s="12"/>
      <c r="E8" s="13"/>
    </row>
    <row r="9" ht="13.65" customHeight="1">
      <c r="A9" s="10"/>
      <c r="B9" t="s" s="15">
        <v>15</v>
      </c>
      <c r="C9" t="s" s="17">
        <v>16</v>
      </c>
      <c r="D9" s="12"/>
      <c r="E9" s="13"/>
    </row>
    <row r="10" ht="13.65" customHeight="1">
      <c r="A10" s="10"/>
      <c r="B10" t="s" s="15">
        <v>17</v>
      </c>
      <c r="C10" t="s" s="17">
        <v>18</v>
      </c>
      <c r="D10" s="12"/>
      <c r="E10" s="13"/>
    </row>
    <row r="11" ht="13.55" customHeight="1">
      <c r="A11" s="10"/>
      <c r="B11" s="12"/>
      <c r="C11" s="12"/>
      <c r="D11" s="12"/>
      <c r="E11" s="13"/>
    </row>
    <row r="12" ht="40" customHeight="1">
      <c r="A12" s="10"/>
      <c r="B12" t="s" s="15">
        <v>19</v>
      </c>
      <c r="C12" t="s" s="18">
        <v>20</v>
      </c>
      <c r="D12" s="12"/>
      <c r="E12" s="13"/>
    </row>
    <row r="13" ht="13.55" customHeight="1">
      <c r="A13" s="10"/>
      <c r="B13" s="12"/>
      <c r="C13" s="12"/>
      <c r="D13" s="12"/>
      <c r="E13" s="13"/>
    </row>
    <row r="14" ht="13.65" customHeight="1">
      <c r="A14" s="10"/>
      <c r="B14" t="s" s="15">
        <v>21</v>
      </c>
      <c r="C14" s="12"/>
      <c r="D14" s="12"/>
      <c r="E14" s="13"/>
    </row>
    <row r="15" ht="13.65" customHeight="1">
      <c r="A15" s="10"/>
      <c r="B15" t="s" s="19">
        <v>22</v>
      </c>
      <c r="C15" t="s" s="19">
        <v>23</v>
      </c>
      <c r="D15" s="12"/>
      <c r="E15" s="13"/>
    </row>
    <row r="16" ht="13.65" customHeight="1">
      <c r="A16" s="10"/>
      <c r="B16" t="s" s="19">
        <v>24</v>
      </c>
      <c r="C16" t="s" s="19">
        <v>25</v>
      </c>
      <c r="D16" s="12"/>
      <c r="E16" s="13"/>
    </row>
    <row r="17" ht="13.65" customHeight="1">
      <c r="A17" s="10"/>
      <c r="B17" t="s" s="19">
        <v>26</v>
      </c>
      <c r="C17" t="s" s="19">
        <v>27</v>
      </c>
      <c r="D17" s="12"/>
      <c r="E17" s="13"/>
    </row>
    <row r="18" ht="13.55" customHeight="1">
      <c r="A18" s="10"/>
      <c r="B18" s="12"/>
      <c r="C18" s="12"/>
      <c r="D18" s="12"/>
      <c r="E18" s="13"/>
    </row>
    <row r="19" ht="13.65" customHeight="1">
      <c r="A19" s="10"/>
      <c r="B19" t="s" s="15">
        <v>28</v>
      </c>
      <c r="C19" s="12"/>
      <c r="D19" s="12"/>
      <c r="E19" s="13"/>
    </row>
    <row r="20" ht="13.65" customHeight="1">
      <c r="A20" s="10"/>
      <c r="B20" t="s" s="20">
        <v>29</v>
      </c>
      <c r="C20" t="s" s="19">
        <v>30</v>
      </c>
      <c r="D20" s="12"/>
      <c r="E20" s="13"/>
    </row>
    <row r="21" ht="13.65" customHeight="1">
      <c r="A21" s="10"/>
      <c r="B21" t="s" s="19">
        <v>29</v>
      </c>
      <c r="C21" t="s" s="19">
        <v>31</v>
      </c>
      <c r="D21" s="12"/>
      <c r="E21" s="13"/>
    </row>
    <row r="22" ht="13.65" customHeight="1">
      <c r="A22" s="10"/>
      <c r="B22" t="s" s="21">
        <v>29</v>
      </c>
      <c r="C22" t="s" s="19">
        <v>32</v>
      </c>
      <c r="D22" s="12"/>
      <c r="E22" s="13"/>
    </row>
    <row r="23" ht="13.65" customHeight="1">
      <c r="A23" s="22"/>
      <c r="B23" s="23"/>
      <c r="C23" t="s" s="24">
        <v>33</v>
      </c>
      <c r="D23" s="25"/>
      <c r="E2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3"/>
  <sheetViews>
    <sheetView workbookViewId="0" showGridLines="0" defaultGridColor="1"/>
  </sheetViews>
  <sheetFormatPr defaultColWidth="8.83333" defaultRowHeight="15" customHeight="1" outlineLevelRow="0" outlineLevelCol="0"/>
  <cols>
    <col min="1" max="1" width="52" style="27" customWidth="1"/>
    <col min="2" max="6" width="12" style="27" customWidth="1"/>
    <col min="7" max="7" width="8.85156" style="27" customWidth="1"/>
    <col min="8" max="8" width="70" style="27" customWidth="1"/>
    <col min="9" max="16384" width="8.85156" style="27" customWidth="1"/>
  </cols>
  <sheetData>
    <row r="1" ht="18.5" customHeight="1">
      <c r="A1" t="s" s="28">
        <v>34</v>
      </c>
      <c r="B1" s="8"/>
      <c r="C1" s="8"/>
      <c r="D1" s="8"/>
      <c r="E1" s="8"/>
      <c r="F1" s="8"/>
      <c r="G1" s="8"/>
      <c r="H1" s="9"/>
    </row>
    <row r="2" ht="13.65" customHeight="1">
      <c r="A2" t="s" s="29">
        <v>35</v>
      </c>
      <c r="B2" s="12"/>
      <c r="C2" s="12"/>
      <c r="D2" s="12"/>
      <c r="E2" s="12"/>
      <c r="F2" s="12"/>
      <c r="G2" s="12"/>
      <c r="H2" s="13"/>
    </row>
    <row r="3" ht="13.55" customHeight="1">
      <c r="A3" s="10"/>
      <c r="B3" s="12"/>
      <c r="C3" s="12"/>
      <c r="D3" s="12"/>
      <c r="E3" s="12"/>
      <c r="F3" s="12"/>
      <c r="G3" s="12"/>
      <c r="H3" s="13"/>
    </row>
    <row r="4" ht="13.65" customHeight="1">
      <c r="A4" t="s" s="30">
        <v>36</v>
      </c>
      <c r="B4" t="s" s="31">
        <v>37</v>
      </c>
      <c r="C4" t="s" s="31">
        <v>38</v>
      </c>
      <c r="D4" s="32"/>
      <c r="E4" s="32"/>
      <c r="F4" s="32"/>
      <c r="G4" s="32"/>
      <c r="H4" t="s" s="33">
        <v>39</v>
      </c>
    </row>
    <row r="5" ht="13.65" customHeight="1">
      <c r="A5" t="s" s="34">
        <v>40</v>
      </c>
      <c r="B5" s="35">
        <v>812</v>
      </c>
      <c r="C5" t="s" s="19">
        <v>41</v>
      </c>
      <c r="D5" s="12"/>
      <c r="E5" s="12"/>
      <c r="F5" s="12"/>
      <c r="G5" s="12"/>
      <c r="H5" t="s" s="36">
        <v>42</v>
      </c>
    </row>
    <row r="6" ht="13.65" customHeight="1">
      <c r="A6" t="s" s="34">
        <v>43</v>
      </c>
      <c r="B6" s="37">
        <v>0.38</v>
      </c>
      <c r="C6" t="s" s="19">
        <v>44</v>
      </c>
      <c r="D6" s="12"/>
      <c r="E6" s="12"/>
      <c r="F6" s="12"/>
      <c r="G6" s="12"/>
      <c r="H6" t="s" s="36">
        <v>45</v>
      </c>
    </row>
    <row r="7" ht="13.65" customHeight="1">
      <c r="A7" t="s" s="34">
        <v>46</v>
      </c>
      <c r="B7" s="37">
        <v>0.5</v>
      </c>
      <c r="C7" t="s" s="19">
        <v>47</v>
      </c>
      <c r="D7" s="12"/>
      <c r="E7" s="12"/>
      <c r="F7" s="12"/>
      <c r="G7" s="12"/>
      <c r="H7" t="s" s="36">
        <v>48</v>
      </c>
    </row>
    <row r="8" ht="13.65" customHeight="1">
      <c r="A8" t="s" s="34">
        <v>49</v>
      </c>
      <c r="B8" s="37">
        <v>0.3</v>
      </c>
      <c r="C8" t="s" s="19">
        <v>47</v>
      </c>
      <c r="D8" s="12"/>
      <c r="E8" s="12"/>
      <c r="F8" s="12"/>
      <c r="G8" s="12"/>
      <c r="H8" t="s" s="36">
        <v>50</v>
      </c>
    </row>
    <row r="9" ht="13.65" customHeight="1">
      <c r="A9" t="s" s="34">
        <v>51</v>
      </c>
      <c r="B9" s="38">
        <f>1-B7-B8</f>
        <v>0.2</v>
      </c>
      <c r="C9" t="s" s="19">
        <v>47</v>
      </c>
      <c r="D9" s="12"/>
      <c r="E9" s="12"/>
      <c r="F9" s="12"/>
      <c r="G9" s="12"/>
      <c r="H9" t="s" s="36">
        <v>52</v>
      </c>
    </row>
    <row r="10" ht="13.65" customHeight="1">
      <c r="A10" t="s" s="34">
        <v>53</v>
      </c>
      <c r="B10" s="35">
        <v>74</v>
      </c>
      <c r="C10" t="s" s="19">
        <v>54</v>
      </c>
      <c r="D10" s="12"/>
      <c r="E10" s="12"/>
      <c r="F10" s="12"/>
      <c r="G10" s="12"/>
      <c r="H10" t="s" s="36">
        <v>55</v>
      </c>
    </row>
    <row r="11" ht="13.65" customHeight="1">
      <c r="A11" t="s" s="34">
        <v>56</v>
      </c>
      <c r="B11" s="39">
        <v>9800</v>
      </c>
      <c r="C11" t="s" s="19">
        <v>57</v>
      </c>
      <c r="D11" s="12"/>
      <c r="E11" s="12"/>
      <c r="F11" s="12"/>
      <c r="G11" s="12"/>
      <c r="H11" t="s" s="36">
        <v>58</v>
      </c>
    </row>
    <row r="12" ht="13.65" customHeight="1">
      <c r="A12" t="s" s="34">
        <v>59</v>
      </c>
      <c r="B12" s="39">
        <v>420</v>
      </c>
      <c r="C12" t="s" s="19">
        <v>60</v>
      </c>
      <c r="D12" s="12"/>
      <c r="E12" s="12"/>
      <c r="F12" s="12"/>
      <c r="G12" s="12"/>
      <c r="H12" t="s" s="36">
        <v>61</v>
      </c>
    </row>
    <row r="13" ht="13.65" customHeight="1">
      <c r="A13" t="s" s="34">
        <v>62</v>
      </c>
      <c r="B13" s="37">
        <v>0.19</v>
      </c>
      <c r="C13" t="s" s="19">
        <v>44</v>
      </c>
      <c r="D13" s="12"/>
      <c r="E13" s="12"/>
      <c r="F13" s="12"/>
      <c r="G13" s="12"/>
      <c r="H13" t="s" s="36">
        <v>63</v>
      </c>
    </row>
    <row r="14" ht="13.65" customHeight="1">
      <c r="A14" t="s" s="34">
        <v>64</v>
      </c>
      <c r="B14" s="37">
        <v>0.065</v>
      </c>
      <c r="C14" t="s" s="19">
        <v>44</v>
      </c>
      <c r="D14" s="12"/>
      <c r="E14" s="12"/>
      <c r="F14" s="12"/>
      <c r="G14" s="12"/>
      <c r="H14" t="s" s="36">
        <v>63</v>
      </c>
    </row>
    <row r="15" ht="13.65" customHeight="1">
      <c r="A15" t="s" s="34">
        <v>65</v>
      </c>
      <c r="B15" s="37">
        <v>0.022</v>
      </c>
      <c r="C15" t="s" s="19">
        <v>44</v>
      </c>
      <c r="D15" s="12"/>
      <c r="E15" s="12"/>
      <c r="F15" s="12"/>
      <c r="G15" s="12"/>
      <c r="H15" t="s" s="36">
        <v>63</v>
      </c>
    </row>
    <row r="16" ht="13.65" customHeight="1">
      <c r="A16" t="s" s="34">
        <v>66</v>
      </c>
      <c r="B16" s="37">
        <v>0.025</v>
      </c>
      <c r="C16" t="s" s="19">
        <v>44</v>
      </c>
      <c r="D16" s="12"/>
      <c r="E16" s="12"/>
      <c r="F16" s="12"/>
      <c r="G16" s="12"/>
      <c r="H16" t="s" s="36">
        <v>67</v>
      </c>
    </row>
    <row r="17" ht="13.65" customHeight="1">
      <c r="A17" t="s" s="34">
        <v>68</v>
      </c>
      <c r="B17" s="37">
        <v>0.14</v>
      </c>
      <c r="C17" t="s" s="19">
        <v>44</v>
      </c>
      <c r="D17" s="12"/>
      <c r="E17" s="12"/>
      <c r="F17" s="12"/>
      <c r="G17" s="12"/>
      <c r="H17" t="s" s="36">
        <v>69</v>
      </c>
    </row>
    <row r="18" ht="13.55" customHeight="1">
      <c r="A18" s="10"/>
      <c r="B18" s="12"/>
      <c r="C18" s="12"/>
      <c r="D18" s="12"/>
      <c r="E18" s="12"/>
      <c r="F18" s="12"/>
      <c r="G18" s="12"/>
      <c r="H18" s="13"/>
    </row>
    <row r="19" ht="13.65" customHeight="1">
      <c r="A19" t="s" s="30">
        <v>70</v>
      </c>
      <c r="B19" s="32"/>
      <c r="C19" s="32"/>
      <c r="D19" s="32"/>
      <c r="E19" s="32"/>
      <c r="F19" s="32"/>
      <c r="G19" s="32"/>
      <c r="H19" s="40"/>
    </row>
    <row r="20" ht="13.65" customHeight="1">
      <c r="A20" t="s" s="34">
        <v>71</v>
      </c>
      <c r="B20" s="41">
        <v>96.95</v>
      </c>
      <c r="C20" t="s" s="19">
        <v>72</v>
      </c>
      <c r="D20" s="12"/>
      <c r="E20" s="12"/>
      <c r="F20" s="12"/>
      <c r="G20" s="12"/>
      <c r="H20" t="s" s="36">
        <v>73</v>
      </c>
    </row>
    <row r="21" ht="13.65" customHeight="1">
      <c r="A21" t="s" s="34">
        <v>74</v>
      </c>
      <c r="B21" s="42">
        <v>1.1519</v>
      </c>
      <c r="C21" t="s" s="19">
        <v>75</v>
      </c>
      <c r="D21" s="12"/>
      <c r="E21" s="12"/>
      <c r="F21" s="12"/>
      <c r="G21" s="12"/>
      <c r="H21" t="s" s="36">
        <v>76</v>
      </c>
    </row>
    <row r="22" ht="13.65" customHeight="1">
      <c r="A22" t="s" s="34">
        <v>77</v>
      </c>
      <c r="B22" s="37">
        <v>0.125</v>
      </c>
      <c r="C22" t="s" s="19">
        <v>44</v>
      </c>
      <c r="D22" s="12"/>
      <c r="E22" s="12"/>
      <c r="F22" s="12"/>
      <c r="G22" s="12"/>
      <c r="H22" t="s" s="36">
        <v>78</v>
      </c>
    </row>
    <row r="23" ht="13.65" customHeight="1">
      <c r="A23" t="s" s="34">
        <v>79</v>
      </c>
      <c r="B23" s="37">
        <v>0</v>
      </c>
      <c r="C23" t="s" s="19">
        <v>44</v>
      </c>
      <c r="D23" s="12"/>
      <c r="E23" s="12"/>
      <c r="F23" s="12"/>
      <c r="G23" s="12"/>
      <c r="H23" t="s" s="36">
        <v>80</v>
      </c>
    </row>
    <row r="24" ht="13.65" customHeight="1">
      <c r="A24" t="s" s="34">
        <v>81</v>
      </c>
      <c r="B24" s="37">
        <v>0.21</v>
      </c>
      <c r="C24" t="s" s="19">
        <v>44</v>
      </c>
      <c r="D24" s="12"/>
      <c r="E24" s="12"/>
      <c r="F24" s="12"/>
      <c r="G24" s="12"/>
      <c r="H24" t="s" s="36">
        <v>82</v>
      </c>
    </row>
    <row r="25" ht="13.55" customHeight="1">
      <c r="A25" s="10"/>
      <c r="B25" s="12"/>
      <c r="C25" s="12"/>
      <c r="D25" s="12"/>
      <c r="E25" s="12"/>
      <c r="F25" s="12"/>
      <c r="G25" s="12"/>
      <c r="H25" s="13"/>
    </row>
    <row r="26" ht="13.65" customHeight="1">
      <c r="A26" t="s" s="30">
        <v>83</v>
      </c>
      <c r="B26" s="32"/>
      <c r="C26" s="32"/>
      <c r="D26" s="32"/>
      <c r="E26" s="32"/>
      <c r="F26" s="32"/>
      <c r="G26" s="32"/>
      <c r="H26" s="40"/>
    </row>
    <row r="27" ht="13.65" customHeight="1">
      <c r="A27" t="s" s="34">
        <v>84</v>
      </c>
      <c r="B27" s="35">
        <v>300</v>
      </c>
      <c r="C27" t="s" s="19">
        <v>41</v>
      </c>
      <c r="D27" s="12"/>
      <c r="E27" s="12"/>
      <c r="F27" s="12"/>
      <c r="G27" s="12"/>
      <c r="H27" t="s" s="36">
        <v>85</v>
      </c>
    </row>
    <row r="28" ht="13.65" customHeight="1">
      <c r="A28" t="s" s="34">
        <v>86</v>
      </c>
      <c r="B28" s="37">
        <v>0.05</v>
      </c>
      <c r="C28" t="s" s="19">
        <v>44</v>
      </c>
      <c r="D28" s="12"/>
      <c r="E28" s="12"/>
      <c r="F28" s="12"/>
      <c r="G28" s="12"/>
      <c r="H28" t="s" s="36">
        <v>87</v>
      </c>
    </row>
    <row r="29" ht="13.65" customHeight="1">
      <c r="A29" t="s" s="34">
        <v>88</v>
      </c>
      <c r="B29" s="43">
        <v>0.0275</v>
      </c>
      <c r="C29" t="s" s="19">
        <v>44</v>
      </c>
      <c r="D29" s="12"/>
      <c r="E29" s="12"/>
      <c r="F29" s="12"/>
      <c r="G29" s="12"/>
      <c r="H29" t="s" s="36">
        <v>89</v>
      </c>
    </row>
    <row r="30" ht="13.65" customHeight="1">
      <c r="A30" t="s" s="34">
        <v>90</v>
      </c>
      <c r="B30" s="35">
        <v>46</v>
      </c>
      <c r="C30" t="s" s="19">
        <v>41</v>
      </c>
      <c r="D30" s="12"/>
      <c r="E30" s="12"/>
      <c r="F30" s="12"/>
      <c r="G30" s="12"/>
      <c r="H30" t="s" s="36">
        <v>91</v>
      </c>
    </row>
    <row r="31" ht="13.55" customHeight="1">
      <c r="A31" s="10"/>
      <c r="B31" s="12"/>
      <c r="C31" s="12"/>
      <c r="D31" s="12"/>
      <c r="E31" s="12"/>
      <c r="F31" s="12"/>
      <c r="G31" s="12"/>
      <c r="H31" s="13"/>
    </row>
    <row r="32" ht="13.65" customHeight="1">
      <c r="A32" t="s" s="30">
        <v>92</v>
      </c>
      <c r="B32" t="s" s="44">
        <v>93</v>
      </c>
      <c r="C32" t="s" s="44">
        <v>94</v>
      </c>
      <c r="D32" t="s" s="44">
        <v>95</v>
      </c>
      <c r="E32" t="s" s="44">
        <v>96</v>
      </c>
      <c r="F32" t="s" s="44">
        <v>97</v>
      </c>
      <c r="G32" s="32"/>
      <c r="H32" s="40"/>
    </row>
    <row r="33" ht="13.65" customHeight="1">
      <c r="A33" t="s" s="45">
        <v>98</v>
      </c>
      <c r="B33" s="46">
        <v>0.04</v>
      </c>
      <c r="C33" s="46">
        <v>0.045</v>
      </c>
      <c r="D33" s="46">
        <v>0.045</v>
      </c>
      <c r="E33" s="46">
        <v>0.04</v>
      </c>
      <c r="F33" s="46">
        <v>0.035</v>
      </c>
      <c r="G33" s="25"/>
      <c r="H33" t="s" s="47">
        <v>99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39"/>
  <sheetViews>
    <sheetView workbookViewId="0" showGridLines="0" defaultGridColor="1"/>
  </sheetViews>
  <sheetFormatPr defaultColWidth="8.83333" defaultRowHeight="15" customHeight="1" outlineLevelRow="0" outlineLevelCol="0"/>
  <cols>
    <col min="1" max="1" width="44" style="48" customWidth="1"/>
    <col min="2" max="7" width="12" style="48" customWidth="1"/>
    <col min="8" max="16384" width="8.85156" style="48" customWidth="1"/>
  </cols>
  <sheetData>
    <row r="1" ht="18.5" customHeight="1">
      <c r="A1" t="s" s="28">
        <v>100</v>
      </c>
      <c r="B1" s="8"/>
      <c r="C1" s="8"/>
      <c r="D1" s="8"/>
      <c r="E1" s="8"/>
      <c r="F1" s="8"/>
      <c r="G1" s="9"/>
    </row>
    <row r="2" ht="13.65" customHeight="1">
      <c r="A2" t="s" s="29">
        <v>16</v>
      </c>
      <c r="B2" s="12"/>
      <c r="C2" s="12"/>
      <c r="D2" s="12"/>
      <c r="E2" s="12"/>
      <c r="F2" s="12"/>
      <c r="G2" s="13"/>
    </row>
    <row r="3" ht="13.55" customHeight="1">
      <c r="A3" s="10"/>
      <c r="B3" s="12"/>
      <c r="C3" s="12"/>
      <c r="D3" s="12"/>
      <c r="E3" s="12"/>
      <c r="F3" s="12"/>
      <c r="G3" s="13"/>
    </row>
    <row r="4" ht="13.65" customHeight="1">
      <c r="A4" s="49"/>
      <c r="B4" t="s" s="44">
        <v>101</v>
      </c>
      <c r="C4" t="s" s="44">
        <v>93</v>
      </c>
      <c r="D4" t="s" s="44">
        <v>94</v>
      </c>
      <c r="E4" t="s" s="44">
        <v>95</v>
      </c>
      <c r="F4" t="s" s="44">
        <v>96</v>
      </c>
      <c r="G4" t="s" s="50">
        <v>97</v>
      </c>
    </row>
    <row r="5" ht="13.65" customHeight="1">
      <c r="A5" t="s" s="34">
        <v>92</v>
      </c>
      <c r="B5" s="12"/>
      <c r="C5" s="51">
        <f>'Assumptions'!B33</f>
        <v>0.04</v>
      </c>
      <c r="D5" s="51">
        <f>'Assumptions'!C33</f>
        <v>0.045</v>
      </c>
      <c r="E5" s="51">
        <f>'Assumptions'!D33</f>
        <v>0.045</v>
      </c>
      <c r="F5" s="51">
        <f>'Assumptions'!E33</f>
        <v>0.04</v>
      </c>
      <c r="G5" s="52">
        <f>'Assumptions'!F33</f>
        <v>0.035</v>
      </c>
    </row>
    <row r="6" ht="13.65" customHeight="1">
      <c r="A6" t="s" s="53">
        <v>102</v>
      </c>
      <c r="B6" s="54">
        <f>'Assumptions'!B5</f>
        <v>812</v>
      </c>
      <c r="C6" s="55">
        <f>B6*(1+C5)</f>
        <v>844.48</v>
      </c>
      <c r="D6" s="55">
        <f>C6*(1+D5)</f>
        <v>882.4816</v>
      </c>
      <c r="E6" s="55">
        <f>D6*(1+E5)</f>
        <v>922.193272</v>
      </c>
      <c r="F6" s="55">
        <f>E6*(1+F5)</f>
        <v>959.08100288</v>
      </c>
      <c r="G6" s="56">
        <f>F6*(1+G5)</f>
        <v>992.6488379808</v>
      </c>
    </row>
    <row r="7" ht="13.55" customHeight="1">
      <c r="A7" s="10"/>
      <c r="B7" s="12"/>
      <c r="C7" s="12"/>
      <c r="D7" s="12"/>
      <c r="E7" s="12"/>
      <c r="F7" s="12"/>
      <c r="G7" s="13"/>
    </row>
    <row r="8" ht="13.65" customHeight="1">
      <c r="A8" t="s" s="53">
        <v>103</v>
      </c>
      <c r="B8" s="12"/>
      <c r="C8" s="12"/>
      <c r="D8" s="12"/>
      <c r="E8" s="12"/>
      <c r="F8" s="12"/>
      <c r="G8" s="13"/>
    </row>
    <row r="9" ht="13.65" customHeight="1">
      <c r="A9" t="s" s="34">
        <v>104</v>
      </c>
      <c r="B9" s="12"/>
      <c r="C9" s="57">
        <f>C6*'Assumptions'!$B$6</f>
        <v>320.9024</v>
      </c>
      <c r="D9" s="57">
        <f>D6*'Assumptions'!$B$6</f>
        <v>335.343008</v>
      </c>
      <c r="E9" s="57">
        <f>E6*'Assumptions'!$B$6</f>
        <v>350.43344336</v>
      </c>
      <c r="F9" s="57">
        <f>F6*'Assumptions'!$B$6</f>
        <v>364.4507810944</v>
      </c>
      <c r="G9" s="58">
        <f>G6*'Assumptions'!$B$6</f>
        <v>377.206558432704</v>
      </c>
    </row>
    <row r="10" ht="13.65" customHeight="1">
      <c r="A10" t="s" s="34">
        <v>105</v>
      </c>
      <c r="B10" s="12"/>
      <c r="C10" s="57">
        <f>C9*'Assumptions'!$B$7</f>
        <v>160.4512</v>
      </c>
      <c r="D10" s="57">
        <f>D9*'Assumptions'!$B$7</f>
        <v>167.671504</v>
      </c>
      <c r="E10" s="57">
        <f>E9*'Assumptions'!$B$7</f>
        <v>175.21672168</v>
      </c>
      <c r="F10" s="57">
        <f>F9*'Assumptions'!$B$7</f>
        <v>182.2253905472</v>
      </c>
      <c r="G10" s="58">
        <f>G9*'Assumptions'!$B$7</f>
        <v>188.603279216352</v>
      </c>
    </row>
    <row r="11" ht="13.65" customHeight="1">
      <c r="A11" t="s" s="34">
        <v>106</v>
      </c>
      <c r="B11" s="12"/>
      <c r="C11" s="57">
        <f>C9*'Assumptions'!$B$8</f>
        <v>96.27072</v>
      </c>
      <c r="D11" s="57">
        <f>D9*'Assumptions'!$B$8</f>
        <v>100.6029024</v>
      </c>
      <c r="E11" s="57">
        <f>E9*'Assumptions'!$B$8</f>
        <v>105.130033008</v>
      </c>
      <c r="F11" s="57">
        <f>F9*'Assumptions'!$B$8</f>
        <v>109.335234328320</v>
      </c>
      <c r="G11" s="58">
        <f>G9*'Assumptions'!$B$8</f>
        <v>113.161967529811</v>
      </c>
    </row>
    <row r="12" ht="13.65" customHeight="1">
      <c r="A12" t="s" s="34">
        <v>107</v>
      </c>
      <c r="B12" s="12"/>
      <c r="C12" s="57">
        <f>C9*'Assumptions'!$B$9</f>
        <v>64.18048</v>
      </c>
      <c r="D12" s="57">
        <f>D9*'Assumptions'!$B$9</f>
        <v>67.06860159999999</v>
      </c>
      <c r="E12" s="57">
        <f>E9*'Assumptions'!$B$9</f>
        <v>70.08668867199999</v>
      </c>
      <c r="F12" s="57">
        <f>F9*'Assumptions'!$B$9</f>
        <v>72.89015621887999</v>
      </c>
      <c r="G12" s="58">
        <f>G9*'Assumptions'!$B$9</f>
        <v>75.4413116865408</v>
      </c>
    </row>
    <row r="13" ht="13.65" customHeight="1">
      <c r="A13" t="s" s="34">
        <v>108</v>
      </c>
      <c r="B13" s="12"/>
      <c r="C13" s="57">
        <f>'Assumptions'!$B$10</f>
        <v>74</v>
      </c>
      <c r="D13" s="57">
        <f>C13*(1+D5)</f>
        <v>77.33</v>
      </c>
      <c r="E13" s="57">
        <f>D13*(1+E5)</f>
        <v>80.80985</v>
      </c>
      <c r="F13" s="57">
        <f>E13*(1+F5)</f>
        <v>84.042244</v>
      </c>
      <c r="G13" s="58">
        <f>F13*(1+G5)</f>
        <v>86.98372254</v>
      </c>
    </row>
    <row r="14" ht="13.65" customHeight="1">
      <c r="A14" t="s" s="34">
        <v>109</v>
      </c>
      <c r="B14" s="12"/>
      <c r="C14" s="57">
        <f>C13*'Assumptions'!$B$21</f>
        <v>85.2406</v>
      </c>
      <c r="D14" s="57">
        <f>D13*'Assumptions'!$B$21</f>
        <v>89.076427</v>
      </c>
      <c r="E14" s="57">
        <f>E13*'Assumptions'!$B$21</f>
        <v>93.08486621500001</v>
      </c>
      <c r="F14" s="57">
        <f>F13*'Assumptions'!$B$21</f>
        <v>96.8082608636</v>
      </c>
      <c r="G14" s="58">
        <f>G13*'Assumptions'!$B$21</f>
        <v>100.196549993826</v>
      </c>
    </row>
    <row r="15" ht="13.65" customHeight="1">
      <c r="A15" t="s" s="34">
        <v>110</v>
      </c>
      <c r="B15" s="12"/>
      <c r="C15" s="57">
        <f>C10*'Assumptions'!$B$22</f>
        <v>20.0564</v>
      </c>
      <c r="D15" s="57">
        <f>D10*'Assumptions'!$B$22</f>
        <v>20.958938</v>
      </c>
      <c r="E15" s="57">
        <f>E10*'Assumptions'!$B$22</f>
        <v>21.90209021</v>
      </c>
      <c r="F15" s="57">
        <f>F10*'Assumptions'!$B$22</f>
        <v>22.7781738184</v>
      </c>
      <c r="G15" s="58">
        <f>G10*'Assumptions'!$B$22</f>
        <v>23.575409902044</v>
      </c>
    </row>
    <row r="16" ht="13.65" customHeight="1">
      <c r="A16" t="s" s="34">
        <v>111</v>
      </c>
      <c r="B16" s="12"/>
      <c r="C16" s="57">
        <f>C11*'Assumptions'!$B$23</f>
        <v>0</v>
      </c>
      <c r="D16" s="57">
        <f>D11*'Assumptions'!$B$23</f>
        <v>0</v>
      </c>
      <c r="E16" s="57">
        <f>E11*'Assumptions'!$B$23</f>
        <v>0</v>
      </c>
      <c r="F16" s="57">
        <f>F11*'Assumptions'!$B$23</f>
        <v>0</v>
      </c>
      <c r="G16" s="58">
        <f>G11*'Assumptions'!$B$23</f>
        <v>0</v>
      </c>
    </row>
    <row r="17" ht="13.65" customHeight="1">
      <c r="A17" t="s" s="34">
        <v>112</v>
      </c>
      <c r="B17" s="12"/>
      <c r="C17" s="59">
        <f>'Assumptions'!$B$11</f>
        <v>9800</v>
      </c>
      <c r="D17" s="59">
        <f>C17*(1+D5)</f>
        <v>10241</v>
      </c>
      <c r="E17" s="59">
        <f>D17*(1+E5)</f>
        <v>10701.845</v>
      </c>
      <c r="F17" s="59">
        <f>E17*(1+F5)</f>
        <v>11129.9188</v>
      </c>
      <c r="G17" s="60">
        <f>F17*(1+G5)</f>
        <v>11519.465958</v>
      </c>
    </row>
    <row r="18" ht="13.65" customHeight="1">
      <c r="A18" t="s" s="34">
        <v>113</v>
      </c>
      <c r="B18" s="12"/>
      <c r="C18" s="57">
        <f>C17*5739/1000000</f>
        <v>56.2422</v>
      </c>
      <c r="D18" s="57">
        <f>D17*5739/1000000</f>
        <v>58.773099</v>
      </c>
      <c r="E18" s="57">
        <f>E17*5739/1000000</f>
        <v>61.417888455</v>
      </c>
      <c r="F18" s="57">
        <f>F17*5739/1000000</f>
        <v>63.8746039932</v>
      </c>
      <c r="G18" s="58">
        <f>G17*5739/1000000</f>
        <v>66.110215132962</v>
      </c>
    </row>
    <row r="19" ht="13.65" customHeight="1">
      <c r="A19" t="s" s="34">
        <v>114</v>
      </c>
      <c r="B19" s="12"/>
      <c r="C19" s="59">
        <f>'Assumptions'!$B$12</f>
        <v>420</v>
      </c>
      <c r="D19" s="59">
        <f>C19*(1+D5)</f>
        <v>438.9</v>
      </c>
      <c r="E19" s="59">
        <f>D19*(1+E5)</f>
        <v>458.6505</v>
      </c>
      <c r="F19" s="59">
        <f>E19*(1+F5)</f>
        <v>476.99652</v>
      </c>
      <c r="G19" s="60">
        <f>F19*(1+G5)</f>
        <v>493.6913982</v>
      </c>
    </row>
    <row r="20" ht="13.65" customHeight="1">
      <c r="A20" t="s" s="61">
        <v>115</v>
      </c>
      <c r="B20" s="12"/>
      <c r="C20" s="62">
        <f>C19*'Assumptions'!$B$20/1000</f>
        <v>40.719</v>
      </c>
      <c r="D20" s="62">
        <f>D19*'Assumptions'!$B$20/1000</f>
        <v>42.551355</v>
      </c>
      <c r="E20" s="62">
        <f>E19*'Assumptions'!$B$20/1000</f>
        <v>44.466165975</v>
      </c>
      <c r="F20" s="62">
        <f>F19*'Assumptions'!$B$20/1000</f>
        <v>46.244812614</v>
      </c>
      <c r="G20" s="63">
        <f>G19*'Assumptions'!$B$20/1000</f>
        <v>47.863381055490</v>
      </c>
    </row>
    <row r="21" ht="13.65" customHeight="1">
      <c r="A21" t="s" s="64">
        <v>116</v>
      </c>
      <c r="B21" s="12"/>
      <c r="C21" s="65">
        <f>C9+C14+C15+C16+C18+C20</f>
        <v>523.1606</v>
      </c>
      <c r="D21" s="65">
        <f>D9+D14+D15+D16+D18+D20</f>
        <v>546.702827</v>
      </c>
      <c r="E21" s="65">
        <f>E9+E14+E15+E16+E18+E20</f>
        <v>571.304454215</v>
      </c>
      <c r="F21" s="65">
        <f>F9+F14+F15+F16+F18+F20</f>
        <v>594.1566323836</v>
      </c>
      <c r="G21" s="66">
        <f>G9+G14+G15+G16+G18+G20</f>
        <v>614.952114517026</v>
      </c>
    </row>
    <row r="22" ht="13.65" customHeight="1">
      <c r="A22" t="s" s="53">
        <v>117</v>
      </c>
      <c r="B22" s="12"/>
      <c r="C22" s="55">
        <f>C6-C21</f>
        <v>321.3194</v>
      </c>
      <c r="D22" s="55">
        <f>D6-D21</f>
        <v>335.778773</v>
      </c>
      <c r="E22" s="55">
        <f>E6-E21</f>
        <v>350.888817785</v>
      </c>
      <c r="F22" s="55">
        <f>F6-F21</f>
        <v>364.9243704964</v>
      </c>
      <c r="G22" s="56">
        <f>G6-G21</f>
        <v>377.696723463774</v>
      </c>
    </row>
    <row r="23" ht="13.65" customHeight="1">
      <c r="A23" t="s" s="34">
        <v>118</v>
      </c>
      <c r="B23" s="12"/>
      <c r="C23" s="38">
        <f>C22/C6</f>
        <v>0.380493794998105</v>
      </c>
      <c r="D23" s="38">
        <f>D22/D6</f>
        <v>0.380493794998105</v>
      </c>
      <c r="E23" s="38">
        <f>E22/E6</f>
        <v>0.380493794998105</v>
      </c>
      <c r="F23" s="38">
        <f>F22/F6</f>
        <v>0.380493794998105</v>
      </c>
      <c r="G23" s="67">
        <f>G22/G6</f>
        <v>0.380493794998105</v>
      </c>
    </row>
    <row r="24" ht="13.55" customHeight="1">
      <c r="A24" s="10"/>
      <c r="B24" s="12"/>
      <c r="C24" s="12"/>
      <c r="D24" s="12"/>
      <c r="E24" s="12"/>
      <c r="F24" s="12"/>
      <c r="G24" s="13"/>
    </row>
    <row r="25" ht="13.65" customHeight="1">
      <c r="A25" t="s" s="34">
        <v>119</v>
      </c>
      <c r="B25" s="12"/>
      <c r="C25" s="57">
        <f>C6*'Assumptions'!$B$13</f>
        <v>160.4512</v>
      </c>
      <c r="D25" s="57">
        <f>D6*'Assumptions'!$B$13</f>
        <v>167.671504</v>
      </c>
      <c r="E25" s="57">
        <f>E6*'Assumptions'!$B$13</f>
        <v>175.21672168</v>
      </c>
      <c r="F25" s="57">
        <f>F6*'Assumptions'!$B$13</f>
        <v>182.2253905472</v>
      </c>
      <c r="G25" s="58">
        <f>G6*'Assumptions'!$B$13</f>
        <v>188.603279216352</v>
      </c>
    </row>
    <row r="26" ht="13.65" customHeight="1">
      <c r="A26" t="s" s="61">
        <v>120</v>
      </c>
      <c r="B26" s="12"/>
      <c r="C26" s="62">
        <f>C6*'Assumptions'!$B$14</f>
        <v>54.8912</v>
      </c>
      <c r="D26" s="62">
        <f>D6*'Assumptions'!$B$14</f>
        <v>57.361304</v>
      </c>
      <c r="E26" s="62">
        <f>E6*'Assumptions'!$B$14</f>
        <v>59.94256268</v>
      </c>
      <c r="F26" s="62">
        <f>F6*'Assumptions'!$B$14</f>
        <v>62.3402651872</v>
      </c>
      <c r="G26" s="63">
        <f>G6*'Assumptions'!$B$14</f>
        <v>64.522174468752</v>
      </c>
    </row>
    <row r="27" ht="13.65" customHeight="1">
      <c r="A27" t="s" s="68">
        <v>121</v>
      </c>
      <c r="B27" s="12"/>
      <c r="C27" s="69">
        <f>C22-C25-C26</f>
        <v>105.977</v>
      </c>
      <c r="D27" s="69">
        <f>D22-D25-D26</f>
        <v>110.745965</v>
      </c>
      <c r="E27" s="69">
        <f>E22-E25-E26</f>
        <v>115.729533425</v>
      </c>
      <c r="F27" s="69">
        <f>F22-F25-F26</f>
        <v>120.358714762</v>
      </c>
      <c r="G27" s="70">
        <f>G22-G25-G26</f>
        <v>124.571269778670</v>
      </c>
    </row>
    <row r="28" ht="13.65" customHeight="1">
      <c r="A28" t="s" s="34">
        <v>122</v>
      </c>
      <c r="B28" s="12"/>
      <c r="C28" s="38">
        <f>C27/C6</f>
        <v>0.125493794998105</v>
      </c>
      <c r="D28" s="38">
        <f>D27/D6</f>
        <v>0.125493794998105</v>
      </c>
      <c r="E28" s="38">
        <f>E27/E6</f>
        <v>0.125493794998105</v>
      </c>
      <c r="F28" s="38">
        <f>F27/F6</f>
        <v>0.125493794998105</v>
      </c>
      <c r="G28" s="67">
        <f>G27/G6</f>
        <v>0.125493794998105</v>
      </c>
    </row>
    <row r="29" ht="13.65" customHeight="1">
      <c r="A29" t="s" s="61">
        <v>123</v>
      </c>
      <c r="B29" s="12"/>
      <c r="C29" s="62">
        <f>C6*'Assumptions'!$B$15</f>
        <v>18.57856</v>
      </c>
      <c r="D29" s="62">
        <f>D6*'Assumptions'!$B$15</f>
        <v>19.4145952</v>
      </c>
      <c r="E29" s="62">
        <f>E6*'Assumptions'!$B$15</f>
        <v>20.288251984</v>
      </c>
      <c r="F29" s="62">
        <f>F6*'Assumptions'!$B$15</f>
        <v>21.099782063360</v>
      </c>
      <c r="G29" s="63">
        <f>G6*'Assumptions'!$B$15</f>
        <v>21.8382744355776</v>
      </c>
    </row>
    <row r="30" ht="13.65" customHeight="1">
      <c r="A30" t="s" s="68">
        <v>124</v>
      </c>
      <c r="B30" s="12"/>
      <c r="C30" s="71">
        <f>C27-C29</f>
        <v>87.39843999999999</v>
      </c>
      <c r="D30" s="71">
        <f>D27-D29</f>
        <v>91.3313698</v>
      </c>
      <c r="E30" s="71">
        <f>E27-E29</f>
        <v>95.441281441</v>
      </c>
      <c r="F30" s="71">
        <f>F27-F29</f>
        <v>99.258932698640</v>
      </c>
      <c r="G30" s="72">
        <f>G27-G29</f>
        <v>102.732995343092</v>
      </c>
    </row>
    <row r="31" ht="13.55" customHeight="1">
      <c r="A31" s="10"/>
      <c r="B31" s="12"/>
      <c r="C31" s="12"/>
      <c r="D31" s="12"/>
      <c r="E31" s="12"/>
      <c r="F31" s="12"/>
      <c r="G31" s="13"/>
    </row>
    <row r="32" ht="13.65" customHeight="1">
      <c r="A32" t="s" s="53">
        <v>83</v>
      </c>
      <c r="B32" s="12"/>
      <c r="C32" s="12"/>
      <c r="D32" s="12"/>
      <c r="E32" s="12"/>
      <c r="F32" s="12"/>
      <c r="G32" s="13"/>
    </row>
    <row r="33" ht="13.65" customHeight="1">
      <c r="A33" t="s" s="34">
        <v>125</v>
      </c>
      <c r="B33" s="12"/>
      <c r="C33" s="57">
        <f>'Assumptions'!$B$27</f>
        <v>300</v>
      </c>
      <c r="D33" s="57">
        <f>C34</f>
        <v>285</v>
      </c>
      <c r="E33" s="57">
        <f>D34</f>
        <v>270</v>
      </c>
      <c r="F33" s="57">
        <f>E34</f>
        <v>255</v>
      </c>
      <c r="G33" s="58">
        <f>F34</f>
        <v>240</v>
      </c>
    </row>
    <row r="34" ht="13.65" customHeight="1">
      <c r="A34" t="s" s="34">
        <v>126</v>
      </c>
      <c r="B34" s="12"/>
      <c r="C34" s="57">
        <f>MAX(C33-'Assumptions'!$B$27*'Assumptions'!$B$28,0)</f>
        <v>285</v>
      </c>
      <c r="D34" s="57">
        <f>MAX(D33-'Assumptions'!$B$27*'Assumptions'!$B$28,0)</f>
        <v>270</v>
      </c>
      <c r="E34" s="57">
        <f>MAX(E33-'Assumptions'!$B$27*'Assumptions'!$B$28,0)</f>
        <v>255</v>
      </c>
      <c r="F34" s="57">
        <f>MAX(F33-'Assumptions'!$B$27*'Assumptions'!$B$28,0)</f>
        <v>240</v>
      </c>
      <c r="G34" s="58">
        <f>MAX(G33-'Assumptions'!$B$27*'Assumptions'!$B$28,0)</f>
        <v>225</v>
      </c>
    </row>
    <row r="35" ht="13.65" customHeight="1">
      <c r="A35" t="s" s="34">
        <v>127</v>
      </c>
      <c r="B35" s="12"/>
      <c r="C35" s="73">
        <f>0.0366+'Assumptions'!$B$29</f>
        <v>0.0641</v>
      </c>
      <c r="D35" s="73">
        <f>0.0366+'Assumptions'!$B$29</f>
        <v>0.0641</v>
      </c>
      <c r="E35" s="73">
        <f>0.0366+'Assumptions'!$B$29</f>
        <v>0.0641</v>
      </c>
      <c r="F35" s="73">
        <f>0.0366+'Assumptions'!$B$29</f>
        <v>0.0641</v>
      </c>
      <c r="G35" s="74">
        <f>0.0366+'Assumptions'!$B$29</f>
        <v>0.0641</v>
      </c>
    </row>
    <row r="36" ht="13.65" customHeight="1">
      <c r="A36" t="s" s="61">
        <v>128</v>
      </c>
      <c r="B36" s="12"/>
      <c r="C36" s="62">
        <f>AVERAGE(C33,C34)*C35</f>
        <v>18.74925</v>
      </c>
      <c r="D36" s="62">
        <f>AVERAGE(D33,D34)*D35</f>
        <v>17.78775</v>
      </c>
      <c r="E36" s="62">
        <f>AVERAGE(E33,E34)*E35</f>
        <v>16.82625</v>
      </c>
      <c r="F36" s="62">
        <f>AVERAGE(F33,F34)*F35</f>
        <v>15.86475</v>
      </c>
      <c r="G36" s="63">
        <f>AVERAGE(G33,G34)*G35</f>
        <v>14.90325</v>
      </c>
    </row>
    <row r="37" ht="13.65" customHeight="1">
      <c r="A37" t="s" s="64">
        <v>129</v>
      </c>
      <c r="B37" s="12"/>
      <c r="C37" s="65">
        <f>C30-C36</f>
        <v>68.64919</v>
      </c>
      <c r="D37" s="65">
        <f>D30-D36</f>
        <v>73.5436198</v>
      </c>
      <c r="E37" s="65">
        <f>E30-E36</f>
        <v>78.615031441</v>
      </c>
      <c r="F37" s="65">
        <f>F30-F36</f>
        <v>83.39418269863999</v>
      </c>
      <c r="G37" s="66">
        <f>G30-G36</f>
        <v>87.829745343092</v>
      </c>
    </row>
    <row r="38" ht="13.65" customHeight="1">
      <c r="A38" t="s" s="61">
        <v>130</v>
      </c>
      <c r="B38" s="12"/>
      <c r="C38" s="62">
        <f>MAX(C37,0)*'Assumptions'!$B$24</f>
        <v>14.4163299</v>
      </c>
      <c r="D38" s="62">
        <f>MAX(D37,0)*'Assumptions'!$B$24</f>
        <v>15.444160158</v>
      </c>
      <c r="E38" s="62">
        <f>MAX(E37,0)*'Assumptions'!$B$24</f>
        <v>16.509156602610</v>
      </c>
      <c r="F38" s="62">
        <f>MAX(F37,0)*'Assumptions'!$B$24</f>
        <v>17.5127783667144</v>
      </c>
      <c r="G38" s="63">
        <f>MAX(G37,0)*'Assumptions'!$B$24</f>
        <v>18.4442465220493</v>
      </c>
    </row>
    <row r="39" ht="13.65" customHeight="1">
      <c r="A39" t="s" s="75">
        <v>131</v>
      </c>
      <c r="B39" s="25"/>
      <c r="C39" s="76">
        <f>C37-C38</f>
        <v>54.2328601</v>
      </c>
      <c r="D39" s="76">
        <f>D37-D38</f>
        <v>58.099459642</v>
      </c>
      <c r="E39" s="76">
        <f>E37-E38</f>
        <v>62.105874838390</v>
      </c>
      <c r="F39" s="76">
        <f>F37-F38</f>
        <v>65.88140433192559</v>
      </c>
      <c r="G39" s="77">
        <f>G37-G38</f>
        <v>69.3854988210427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43"/>
  <sheetViews>
    <sheetView workbookViewId="0" showGridLines="0" defaultGridColor="1"/>
  </sheetViews>
  <sheetFormatPr defaultColWidth="8.83333" defaultRowHeight="15" customHeight="1" outlineLevelRow="0" outlineLevelCol="0"/>
  <cols>
    <col min="1" max="1" width="44" style="78" customWidth="1"/>
    <col min="2" max="7" width="12" style="78" customWidth="1"/>
    <col min="8" max="8" width="58" style="78" customWidth="1"/>
    <col min="9" max="16384" width="8.85156" style="78" customWidth="1"/>
  </cols>
  <sheetData>
    <row r="1" ht="18.5" customHeight="1">
      <c r="A1" t="s" s="28">
        <v>132</v>
      </c>
      <c r="B1" s="8"/>
      <c r="C1" s="8"/>
      <c r="D1" s="8"/>
      <c r="E1" s="8"/>
      <c r="F1" s="8"/>
      <c r="G1" s="8"/>
      <c r="H1" s="9"/>
    </row>
    <row r="2" ht="13.65" customHeight="1">
      <c r="A2" t="s" s="29">
        <v>133</v>
      </c>
      <c r="B2" s="12"/>
      <c r="C2" s="12"/>
      <c r="D2" s="12"/>
      <c r="E2" s="12"/>
      <c r="F2" s="12"/>
      <c r="G2" s="12"/>
      <c r="H2" s="13"/>
    </row>
    <row r="3" ht="13.55" customHeight="1">
      <c r="A3" s="10"/>
      <c r="B3" s="12"/>
      <c r="C3" s="12"/>
      <c r="D3" s="12"/>
      <c r="E3" s="12"/>
      <c r="F3" s="12"/>
      <c r="G3" s="12"/>
      <c r="H3" s="13"/>
    </row>
    <row r="4" ht="13.65" customHeight="1">
      <c r="A4" t="s" s="30">
        <v>134</v>
      </c>
      <c r="B4" s="32"/>
      <c r="C4" s="32"/>
      <c r="D4" s="32"/>
      <c r="E4" s="32"/>
      <c r="F4" s="32"/>
      <c r="G4" s="32"/>
      <c r="H4" t="s" s="33">
        <v>39</v>
      </c>
    </row>
    <row r="5" ht="13.65" customHeight="1">
      <c r="A5" t="s" s="34">
        <v>135</v>
      </c>
      <c r="B5" s="79">
        <f>DATE(2026,8,1)</f>
        <v>46235</v>
      </c>
      <c r="C5" s="12"/>
      <c r="D5" s="12"/>
      <c r="E5" s="12"/>
      <c r="F5" s="12"/>
      <c r="G5" s="12"/>
      <c r="H5" t="s" s="36">
        <v>8</v>
      </c>
    </row>
    <row r="6" ht="13.65" customHeight="1">
      <c r="A6" t="s" s="34">
        <v>136</v>
      </c>
      <c r="B6" s="43">
        <v>0.0475</v>
      </c>
      <c r="C6" s="12"/>
      <c r="D6" s="12"/>
      <c r="E6" s="12"/>
      <c r="F6" s="12"/>
      <c r="G6" s="12"/>
      <c r="H6" t="s" s="36">
        <v>137</v>
      </c>
    </row>
    <row r="7" ht="13.65" customHeight="1">
      <c r="A7" t="s" s="34">
        <v>138</v>
      </c>
      <c r="B7" s="43">
        <v>0.05</v>
      </c>
      <c r="C7" s="12"/>
      <c r="D7" s="12"/>
      <c r="E7" s="12"/>
      <c r="F7" s="12"/>
      <c r="G7" s="12"/>
      <c r="H7" t="s" s="36">
        <v>139</v>
      </c>
    </row>
    <row r="8" ht="13.65" customHeight="1">
      <c r="A8" t="s" s="34">
        <v>140</v>
      </c>
      <c r="B8" s="80">
        <v>1.15</v>
      </c>
      <c r="C8" s="12"/>
      <c r="D8" s="12"/>
      <c r="E8" s="12"/>
      <c r="F8" s="12"/>
      <c r="G8" s="12"/>
      <c r="H8" t="s" s="36">
        <v>141</v>
      </c>
    </row>
    <row r="9" ht="13.65" customHeight="1">
      <c r="A9" t="s" s="34">
        <v>142</v>
      </c>
      <c r="B9" s="43">
        <v>0.01</v>
      </c>
      <c r="C9" s="12"/>
      <c r="D9" s="12"/>
      <c r="E9" s="12"/>
      <c r="F9" s="12"/>
      <c r="G9" s="12"/>
      <c r="H9" t="s" s="36">
        <v>139</v>
      </c>
    </row>
    <row r="10" ht="13.65" customHeight="1">
      <c r="A10" t="s" s="34">
        <v>143</v>
      </c>
      <c r="B10" s="73">
        <f>B6+B8*B7+B9</f>
        <v>0.115</v>
      </c>
      <c r="C10" s="12"/>
      <c r="D10" s="12"/>
      <c r="E10" s="12"/>
      <c r="F10" s="12"/>
      <c r="G10" s="12"/>
      <c r="H10" t="s" s="36">
        <v>144</v>
      </c>
    </row>
    <row r="11" ht="13.65" customHeight="1">
      <c r="A11" t="s" s="34">
        <v>145</v>
      </c>
      <c r="B11" s="81">
        <f>'P&amp;L'!C35</f>
        <v>0.0641</v>
      </c>
      <c r="C11" s="12"/>
      <c r="D11" s="12"/>
      <c r="E11" s="12"/>
      <c r="F11" s="12"/>
      <c r="G11" s="12"/>
      <c r="H11" t="s" s="36">
        <v>146</v>
      </c>
    </row>
    <row r="12" ht="13.65" customHeight="1">
      <c r="A12" t="s" s="34">
        <v>147</v>
      </c>
      <c r="B12" s="51">
        <f>'Assumptions'!B24</f>
        <v>0.21</v>
      </c>
      <c r="C12" s="12"/>
      <c r="D12" s="12"/>
      <c r="E12" s="12"/>
      <c r="F12" s="12"/>
      <c r="G12" s="12"/>
      <c r="H12" s="82"/>
    </row>
    <row r="13" ht="13.65" customHeight="1">
      <c r="A13" t="s" s="34">
        <v>148</v>
      </c>
      <c r="B13" s="73">
        <f>B11*(1-B12)</f>
        <v>0.050639</v>
      </c>
      <c r="C13" s="12"/>
      <c r="D13" s="12"/>
      <c r="E13" s="12"/>
      <c r="F13" s="12"/>
      <c r="G13" s="12"/>
      <c r="H13" s="82"/>
    </row>
    <row r="14" ht="13.65" customHeight="1">
      <c r="A14" t="s" s="34">
        <v>149</v>
      </c>
      <c r="B14" s="37">
        <v>0.25</v>
      </c>
      <c r="C14" s="12"/>
      <c r="D14" s="12"/>
      <c r="E14" s="12"/>
      <c r="F14" s="12"/>
      <c r="G14" s="12"/>
      <c r="H14" t="s" s="36">
        <v>150</v>
      </c>
    </row>
    <row r="15" ht="13.65" customHeight="1">
      <c r="A15" t="s" s="53">
        <v>151</v>
      </c>
      <c r="B15" s="83">
        <f>B10*(1-B14)+B13*B14</f>
        <v>0.09890975</v>
      </c>
      <c r="C15" s="12"/>
      <c r="D15" s="12"/>
      <c r="E15" s="12"/>
      <c r="F15" s="12"/>
      <c r="G15" s="12"/>
      <c r="H15" s="82"/>
    </row>
    <row r="16" ht="13.65" customHeight="1">
      <c r="A16" t="s" s="34">
        <v>152</v>
      </c>
      <c r="B16" s="37">
        <v>0.025</v>
      </c>
      <c r="C16" s="12"/>
      <c r="D16" s="12"/>
      <c r="E16" s="12"/>
      <c r="F16" s="12"/>
      <c r="G16" s="12"/>
      <c r="H16" t="s" s="36">
        <v>153</v>
      </c>
    </row>
    <row r="17" ht="13.55" customHeight="1">
      <c r="A17" s="10"/>
      <c r="B17" s="12"/>
      <c r="C17" s="12"/>
      <c r="D17" s="12"/>
      <c r="E17" s="12"/>
      <c r="F17" s="12"/>
      <c r="G17" s="12"/>
      <c r="H17" s="13"/>
    </row>
    <row r="18" ht="13.65" customHeight="1">
      <c r="A18" t="s" s="30">
        <v>154</v>
      </c>
      <c r="B18" s="32"/>
      <c r="C18" t="s" s="44">
        <v>93</v>
      </c>
      <c r="D18" t="s" s="44">
        <v>94</v>
      </c>
      <c r="E18" t="s" s="44">
        <v>95</v>
      </c>
      <c r="F18" t="s" s="44">
        <v>96</v>
      </c>
      <c r="G18" t="s" s="44">
        <v>97</v>
      </c>
      <c r="H18" s="40"/>
    </row>
    <row r="19" ht="13.65" customHeight="1">
      <c r="A19" t="s" s="34">
        <v>155</v>
      </c>
      <c r="B19" s="12"/>
      <c r="C19" s="79">
        <f>DATE(2026,12,31)</f>
        <v>46387</v>
      </c>
      <c r="D19" s="79">
        <f>DATE(YEAR(C19)+1,12,31)</f>
        <v>46752</v>
      </c>
      <c r="E19" s="79">
        <f>DATE(YEAR(D19)+1,12,31)</f>
        <v>47118</v>
      </c>
      <c r="F19" s="79">
        <f>DATE(YEAR(E19)+1,12,31)</f>
        <v>47483</v>
      </c>
      <c r="G19" s="79">
        <f>DATE(YEAR(F19)+1,12,31)</f>
        <v>47848</v>
      </c>
      <c r="H19" s="13"/>
    </row>
    <row r="20" ht="13.65" customHeight="1">
      <c r="A20" t="s" s="34">
        <v>121</v>
      </c>
      <c r="B20" s="12"/>
      <c r="C20" s="84">
        <f>'P&amp;L'!C27</f>
        <v>105.977</v>
      </c>
      <c r="D20" s="84">
        <f>'P&amp;L'!D27</f>
        <v>110.745965</v>
      </c>
      <c r="E20" s="84">
        <f>'P&amp;L'!E27</f>
        <v>115.729533425</v>
      </c>
      <c r="F20" s="84">
        <f>'P&amp;L'!F27</f>
        <v>120.358714762</v>
      </c>
      <c r="G20" s="84">
        <f>'P&amp;L'!G27</f>
        <v>124.571269778670</v>
      </c>
      <c r="H20" s="13"/>
    </row>
    <row r="21" ht="13.65" customHeight="1">
      <c r="A21" t="s" s="61">
        <v>156</v>
      </c>
      <c r="B21" s="12"/>
      <c r="C21" s="85">
        <f>-'P&amp;L'!C29</f>
        <v>-18.57856</v>
      </c>
      <c r="D21" s="85">
        <f>-'P&amp;L'!D29</f>
        <v>-19.4145952</v>
      </c>
      <c r="E21" s="85">
        <f>-'P&amp;L'!E29</f>
        <v>-20.288251984</v>
      </c>
      <c r="F21" s="85">
        <f>-'P&amp;L'!F29</f>
        <v>-21.099782063360</v>
      </c>
      <c r="G21" s="85">
        <f>-'P&amp;L'!G29</f>
        <v>-21.8382744355776</v>
      </c>
      <c r="H21" s="13"/>
    </row>
    <row r="22" ht="13.65" customHeight="1">
      <c r="A22" t="s" s="64">
        <v>124</v>
      </c>
      <c r="B22" s="12"/>
      <c r="C22" s="65">
        <f>C20+C21</f>
        <v>87.39843999999999</v>
      </c>
      <c r="D22" s="65">
        <f>D20+D21</f>
        <v>91.3313698</v>
      </c>
      <c r="E22" s="65">
        <f>E20+E21</f>
        <v>95.441281441</v>
      </c>
      <c r="F22" s="65">
        <f>F20+F21</f>
        <v>99.258932698640</v>
      </c>
      <c r="G22" s="65">
        <f>G20+G21</f>
        <v>102.732995343092</v>
      </c>
      <c r="H22" s="13"/>
    </row>
    <row r="23" ht="13.65" customHeight="1">
      <c r="A23" t="s" s="34">
        <v>157</v>
      </c>
      <c r="B23" s="12"/>
      <c r="C23" s="57">
        <f>-MAX(C22,0)*$B$12</f>
        <v>-18.3536724</v>
      </c>
      <c r="D23" s="57">
        <f>-MAX(D22,0)*$B$12</f>
        <v>-19.179587658</v>
      </c>
      <c r="E23" s="57">
        <f>-MAX(E22,0)*$B$12</f>
        <v>-20.042669102610</v>
      </c>
      <c r="F23" s="57">
        <f>-MAX(F22,0)*$B$12</f>
        <v>-20.8443758667144</v>
      </c>
      <c r="G23" s="57">
        <f>-MAX(G22,0)*$B$12</f>
        <v>-21.5739290220493</v>
      </c>
      <c r="H23" s="13"/>
    </row>
    <row r="24" ht="13.65" customHeight="1">
      <c r="A24" t="s" s="34">
        <v>158</v>
      </c>
      <c r="B24" s="12"/>
      <c r="C24" s="57">
        <f>-C21</f>
        <v>18.57856</v>
      </c>
      <c r="D24" s="57">
        <f>-D21</f>
        <v>19.4145952</v>
      </c>
      <c r="E24" s="57">
        <f>-E21</f>
        <v>20.288251984</v>
      </c>
      <c r="F24" s="57">
        <f>-F21</f>
        <v>21.099782063360</v>
      </c>
      <c r="G24" s="57">
        <f>-G21</f>
        <v>21.8382744355776</v>
      </c>
      <c r="H24" s="13"/>
    </row>
    <row r="25" ht="13.65" customHeight="1">
      <c r="A25" t="s" s="34">
        <v>159</v>
      </c>
      <c r="B25" s="12"/>
      <c r="C25" s="57">
        <f>-'P&amp;L'!C6*'Assumptions'!$B$16</f>
        <v>-21.112</v>
      </c>
      <c r="D25" s="57">
        <f>-'P&amp;L'!D6*'Assumptions'!$B$16</f>
        <v>-22.06204</v>
      </c>
      <c r="E25" s="57">
        <f>-'P&amp;L'!E6*'Assumptions'!$B$16</f>
        <v>-23.0548318</v>
      </c>
      <c r="F25" s="57">
        <f>-'P&amp;L'!F6*'Assumptions'!$B$16</f>
        <v>-23.977025072</v>
      </c>
      <c r="G25" s="57">
        <f>-'P&amp;L'!G6*'Assumptions'!$B$16</f>
        <v>-24.816220949520</v>
      </c>
      <c r="H25" s="13"/>
    </row>
    <row r="26" ht="13.65" customHeight="1">
      <c r="A26" t="s" s="61">
        <v>160</v>
      </c>
      <c r="B26" s="12"/>
      <c r="C26" s="62">
        <f>-('P&amp;L'!C6-'P&amp;L'!B6)*'Assumptions'!$B$17</f>
        <v>-4.5472</v>
      </c>
      <c r="D26" s="62">
        <f>-('P&amp;L'!D6-'P&amp;L'!C6)*'Assumptions'!$B$17</f>
        <v>-5.320224</v>
      </c>
      <c r="E26" s="62">
        <f>-('P&amp;L'!E6-'P&amp;L'!D6)*'Assumptions'!$B$17</f>
        <v>-5.55963408</v>
      </c>
      <c r="F26" s="62">
        <f>-('P&amp;L'!F6-'P&amp;L'!E6)*'Assumptions'!$B$17</f>
        <v>-5.1642823232</v>
      </c>
      <c r="G26" s="62">
        <f>-('P&amp;L'!G6-'P&amp;L'!F6)*'Assumptions'!$B$17</f>
        <v>-4.699496914112</v>
      </c>
      <c r="H26" s="13"/>
    </row>
    <row r="27" ht="13.65" customHeight="1">
      <c r="A27" t="s" s="68">
        <v>154</v>
      </c>
      <c r="B27" s="12"/>
      <c r="C27" s="71">
        <f>SUM(C22:C26)</f>
        <v>61.9641276</v>
      </c>
      <c r="D27" s="71">
        <f>SUM(D22:D26)</f>
        <v>64.184113342</v>
      </c>
      <c r="E27" s="71">
        <f>SUM(E22:E26)</f>
        <v>67.072398442390</v>
      </c>
      <c r="F27" s="71">
        <f>SUM(F22:F26)</f>
        <v>70.3730315000856</v>
      </c>
      <c r="G27" s="71">
        <f>SUM(G22:G26)</f>
        <v>73.4816228929883</v>
      </c>
      <c r="H27" s="13"/>
    </row>
    <row r="28" ht="13.65" customHeight="1">
      <c r="A28" t="s" s="34">
        <v>161</v>
      </c>
      <c r="B28" s="12"/>
      <c r="C28" s="38">
        <f>MIN(1,(C19-$B$5)/365)</f>
        <v>0.416438356164384</v>
      </c>
      <c r="D28" s="38">
        <f>MIN(1,(D19-$B$5)/365)</f>
        <v>1</v>
      </c>
      <c r="E28" s="38">
        <f>MIN(1,(E19-$B$5)/365)</f>
        <v>1</v>
      </c>
      <c r="F28" s="38">
        <f>MIN(1,(F19-$B$5)/365)</f>
        <v>1</v>
      </c>
      <c r="G28" s="38">
        <f>MIN(1,(G19-$B$5)/365)</f>
        <v>1</v>
      </c>
      <c r="H28" s="13"/>
    </row>
    <row r="29" ht="13.65" customHeight="1">
      <c r="A29" t="s" s="34">
        <v>162</v>
      </c>
      <c r="B29" s="12"/>
      <c r="C29" s="57">
        <f>C27*C28</f>
        <v>25.8042394389041</v>
      </c>
      <c r="D29" s="57">
        <f>D27*D28</f>
        <v>64.184113342</v>
      </c>
      <c r="E29" s="57">
        <f>E27*E28</f>
        <v>67.072398442390</v>
      </c>
      <c r="F29" s="57">
        <f>F27*F28</f>
        <v>70.3730315000856</v>
      </c>
      <c r="G29" s="57">
        <f>G27*G28</f>
        <v>73.4816228929883</v>
      </c>
      <c r="H29" s="13"/>
    </row>
    <row r="30" ht="13.65" customHeight="1">
      <c r="A30" t="s" s="34">
        <v>163</v>
      </c>
      <c r="B30" s="12"/>
      <c r="C30" s="86">
        <f>(C19-$B$5)/365</f>
        <v>0.416438356164384</v>
      </c>
      <c r="D30" s="86">
        <f>(D19-$B$5)/365</f>
        <v>1.41643835616438</v>
      </c>
      <c r="E30" s="86">
        <f>(E19-$B$5)/365</f>
        <v>2.41917808219178</v>
      </c>
      <c r="F30" s="86">
        <f>(F19-$B$5)/365</f>
        <v>3.41917808219178</v>
      </c>
      <c r="G30" s="86">
        <f>(G19-$B$5)/365</f>
        <v>4.41917808219178</v>
      </c>
      <c r="H30" s="13"/>
    </row>
    <row r="31" ht="13.65" customHeight="1">
      <c r="A31" t="s" s="34">
        <v>164</v>
      </c>
      <c r="B31" s="12"/>
      <c r="C31" s="87">
        <f>1/(1+$B$15)^C30</f>
        <v>0.961483511596618</v>
      </c>
      <c r="D31" s="87">
        <f>1/(1+$B$15)^D30</f>
        <v>0.874943107563308</v>
      </c>
      <c r="E31" s="87">
        <f>1/(1+$B$15)^E30</f>
        <v>0.795986244872549</v>
      </c>
      <c r="F31" s="87">
        <f>1/(1+$B$15)^F30</f>
        <v>0.724341780453353</v>
      </c>
      <c r="G31" s="87">
        <f>1/(1+$B$15)^G30</f>
        <v>0.659145831086996</v>
      </c>
      <c r="H31" s="13"/>
    </row>
    <row r="32" ht="13.65" customHeight="1">
      <c r="A32" t="s" s="53">
        <v>165</v>
      </c>
      <c r="B32" s="12"/>
      <c r="C32" s="55">
        <f>C29*C31</f>
        <v>24.8103507497975</v>
      </c>
      <c r="D32" s="55">
        <f>D29*D31</f>
        <v>56.1574475836451</v>
      </c>
      <c r="E32" s="55">
        <f>E29*E31</f>
        <v>53.3887065707534</v>
      </c>
      <c r="F32" s="55">
        <f>F29*F31</f>
        <v>50.9741269326719</v>
      </c>
      <c r="G32" s="55">
        <f>G29*G31</f>
        <v>48.435105391420</v>
      </c>
      <c r="H32" s="13"/>
    </row>
    <row r="33" ht="13.55" customHeight="1">
      <c r="A33" s="10"/>
      <c r="B33" s="12"/>
      <c r="C33" s="12"/>
      <c r="D33" s="12"/>
      <c r="E33" s="12"/>
      <c r="F33" s="12"/>
      <c r="G33" s="12"/>
      <c r="H33" s="13"/>
    </row>
    <row r="34" ht="13.65" customHeight="1">
      <c r="A34" t="s" s="30">
        <v>166</v>
      </c>
      <c r="B34" s="32"/>
      <c r="C34" s="32"/>
      <c r="D34" s="32"/>
      <c r="E34" s="32"/>
      <c r="F34" s="32"/>
      <c r="G34" s="32"/>
      <c r="H34" s="40"/>
    </row>
    <row r="35" ht="13.65" customHeight="1">
      <c r="A35" t="s" s="34">
        <v>167</v>
      </c>
      <c r="B35" s="57">
        <f>SUM(C32:G32)</f>
        <v>233.765737228288</v>
      </c>
      <c r="C35" s="12"/>
      <c r="D35" s="12"/>
      <c r="E35" s="12"/>
      <c r="F35" s="12"/>
      <c r="G35" s="12"/>
      <c r="H35" s="13"/>
    </row>
    <row r="36" ht="13.65" customHeight="1">
      <c r="A36" t="s" s="34">
        <v>168</v>
      </c>
      <c r="B36" s="57">
        <f>G27*(1+B16)/(B15-B16)</f>
        <v>1019.062619820970</v>
      </c>
      <c r="C36" s="12"/>
      <c r="D36" s="12"/>
      <c r="E36" s="12"/>
      <c r="F36" s="12"/>
      <c r="G36" s="12"/>
      <c r="H36" s="13"/>
    </row>
    <row r="37" ht="13.65" customHeight="1">
      <c r="A37" t="s" s="34">
        <v>169</v>
      </c>
      <c r="B37" s="57">
        <f>B36*G31</f>
        <v>671.710877471585</v>
      </c>
      <c r="C37" s="12"/>
      <c r="D37" s="12"/>
      <c r="E37" s="12"/>
      <c r="F37" s="12"/>
      <c r="G37" s="12"/>
      <c r="H37" s="13"/>
    </row>
    <row r="38" ht="13.65" customHeight="1">
      <c r="A38" t="s" s="53">
        <v>170</v>
      </c>
      <c r="B38" s="88">
        <f>B35+B37</f>
        <v>905.476614699873</v>
      </c>
      <c r="C38" s="12"/>
      <c r="D38" s="12"/>
      <c r="E38" s="12"/>
      <c r="F38" s="12"/>
      <c r="G38" s="12"/>
      <c r="H38" s="13"/>
    </row>
    <row r="39" ht="13.65" customHeight="1">
      <c r="A39" t="s" s="34">
        <v>171</v>
      </c>
      <c r="B39" s="84">
        <f>-'Assumptions'!B27</f>
        <v>-300</v>
      </c>
      <c r="C39" s="12"/>
      <c r="D39" s="12"/>
      <c r="E39" s="12"/>
      <c r="F39" s="12"/>
      <c r="G39" s="12"/>
      <c r="H39" t="s" s="36">
        <v>172</v>
      </c>
    </row>
    <row r="40" ht="13.65" customHeight="1">
      <c r="A40" t="s" s="34">
        <v>173</v>
      </c>
      <c r="B40" s="84">
        <f>'Assumptions'!B30</f>
        <v>46</v>
      </c>
      <c r="C40" s="12"/>
      <c r="D40" s="12"/>
      <c r="E40" s="12"/>
      <c r="F40" s="12"/>
      <c r="G40" s="12"/>
      <c r="H40" s="13"/>
    </row>
    <row r="41" ht="13.65" customHeight="1">
      <c r="A41" t="s" s="53">
        <v>174</v>
      </c>
      <c r="B41" s="88">
        <f>SUM(B38:B40)</f>
        <v>651.476614699873</v>
      </c>
      <c r="C41" s="12"/>
      <c r="D41" s="12"/>
      <c r="E41" s="12"/>
      <c r="F41" s="12"/>
      <c r="G41" s="12"/>
      <c r="H41" s="13"/>
    </row>
    <row r="42" ht="13.65" customHeight="1">
      <c r="A42" t="s" s="34">
        <v>175</v>
      </c>
      <c r="B42" s="89">
        <f>B38/'P&amp;L'!C27</f>
        <v>8.544086119628529</v>
      </c>
      <c r="C42" s="12"/>
      <c r="D42" s="12"/>
      <c r="E42" s="12"/>
      <c r="F42" s="12"/>
      <c r="G42" s="12"/>
      <c r="H42" s="13"/>
    </row>
    <row r="43" ht="13.65" customHeight="1">
      <c r="A43" t="s" s="45">
        <v>176</v>
      </c>
      <c r="B43" s="90">
        <f>B37/B38</f>
        <v>0.741831281522636</v>
      </c>
      <c r="C43" s="25"/>
      <c r="D43" s="25"/>
      <c r="E43" s="25"/>
      <c r="F43" s="25"/>
      <c r="G43" s="25"/>
      <c r="H4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dc:title>Calder &amp; Finch Home - Operating Model &amp; DCF</dc:title>
  <dc:creator>Calder &amp; Finch FP&amp;A</dc:creator>
  <dcterms:created xsi:type="dcterms:W3CDTF">2026-08-01T09:30:00Z</dcterms:created>
  <dcterms:modified xsi:type="dcterms:W3CDTF">2026-08-01T17:45:00Z</dcterms:modified>
</cp:coreProperties>
</file>