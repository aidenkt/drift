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ebt" sheetId="2" state="visible" r:id="rId2"/>
    <sheet name="COGS" sheetId="3" state="visible" r:id="rId3"/>
    <sheet name="P&amp;L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PLACEHOLDER model, assumptions set 2026-08-01. Numbers illustrative.</t>
        </is>
      </c>
    </row>
    <row r="2">
      <c r="A2" t="inlineStr">
        <is>
          <t>Driver</t>
        </is>
      </c>
      <c r="B2" t="inlineStr">
        <is>
          <t>Unit</t>
        </is>
      </c>
      <c r="C2" t="inlineStr">
        <is>
          <t>Value</t>
        </is>
      </c>
    </row>
    <row r="3">
      <c r="A3" t="inlineStr">
        <is>
          <t>Revenue</t>
        </is>
      </c>
    </row>
    <row r="4">
      <c r="A4" t="inlineStr">
        <is>
          <t>US revenue FY2025</t>
        </is>
      </c>
      <c r="B4" t="inlineStr">
        <is>
          <t>USD</t>
        </is>
      </c>
      <c r="C4" s="1" t="n">
        <v>52000000</v>
      </c>
    </row>
    <row r="5">
      <c r="A5" t="inlineStr">
        <is>
          <t>EU revenue FY2025</t>
        </is>
      </c>
      <c r="B5" t="inlineStr">
        <is>
          <t>EUR</t>
        </is>
      </c>
      <c r="C5" s="1" t="n">
        <v>30000000</v>
      </c>
    </row>
    <row r="13">
      <c r="A13" t="inlineStr">
        <is>
          <t>Market</t>
        </is>
      </c>
    </row>
    <row r="14">
      <c r="A14" t="inlineStr">
        <is>
          <t>EUR/USD rate</t>
        </is>
      </c>
      <c r="B14" t="inlineStr">
        <is>
          <t>USD per EUR</t>
        </is>
      </c>
      <c r="C14" s="2" t="n">
        <v>1.08</v>
      </c>
    </row>
    <row r="16">
      <c r="A16" t="inlineStr">
        <is>
          <t>WTI crude</t>
        </is>
      </c>
      <c r="B16" t="inlineStr">
        <is>
          <t>$/bbl</t>
        </is>
      </c>
      <c r="C16" s="3" t="n">
        <v>78</v>
      </c>
    </row>
    <row r="20">
      <c r="A20" t="inlineStr">
        <is>
          <t>Growth and tax</t>
        </is>
      </c>
    </row>
    <row r="21">
      <c r="A21" t="inlineStr">
        <is>
          <t>Revenue growth</t>
        </is>
      </c>
      <c r="B21" t="inlineStr">
        <is>
          <t>%</t>
        </is>
      </c>
      <c r="C21" s="4" t="n">
        <v>0.035</v>
      </c>
    </row>
    <row r="22">
      <c r="A22" t="inlineStr">
        <is>
          <t>Tax rate</t>
        </is>
      </c>
      <c r="B22" t="inlineStr">
        <is>
          <t>%</t>
        </is>
      </c>
      <c r="C22" s="4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A2" t="inlineStr">
        <is>
          <t>Item</t>
        </is>
      </c>
      <c r="B2" t="inlineStr">
        <is>
          <t>Value</t>
        </is>
      </c>
    </row>
    <row r="6">
      <c r="A6" t="inlineStr">
        <is>
          <t>SOFR</t>
        </is>
      </c>
      <c r="B6" s="4" t="n">
        <v>0.043</v>
      </c>
    </row>
    <row r="7">
      <c r="A7" t="inlineStr">
        <is>
          <t>Credit spread</t>
        </is>
      </c>
      <c r="B7" s="4" t="n">
        <v>0.0225</v>
      </c>
    </row>
    <row r="8">
      <c r="A8" t="inlineStr">
        <is>
          <t>All-in rate</t>
        </is>
      </c>
      <c r="B8" s="4">
        <f>B6+B7</f>
        <v/>
      </c>
    </row>
    <row r="10">
      <c r="A10" t="inlineStr">
        <is>
          <t>Term loan (USD)</t>
        </is>
      </c>
      <c r="B10" s="1" t="n">
        <v>40000000</v>
      </c>
    </row>
    <row r="11">
      <c r="A11" t="inlineStr">
        <is>
          <t>Interest (USD)</t>
        </is>
      </c>
      <c r="B11" s="1">
        <f>B10*B8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A2" t="inlineStr">
        <is>
          <t>Line</t>
        </is>
      </c>
      <c r="C2" t="inlineStr">
        <is>
          <t>FY2026</t>
        </is>
      </c>
    </row>
    <row r="8">
      <c r="A8" t="inlineStr">
        <is>
          <t>Containers shipped (FEU)</t>
        </is>
      </c>
      <c r="C8" s="1" t="n">
        <v>1500</v>
      </c>
    </row>
    <row r="9">
      <c r="A9" t="inlineStr">
        <is>
          <t>Freight</t>
        </is>
      </c>
      <c r="C9" s="1">
        <f>C8*2400</f>
        <v/>
      </c>
    </row>
    <row r="10">
      <c r="A10" t="inlineStr">
        <is>
          <t>Materials</t>
        </is>
      </c>
      <c r="C10" s="1">
        <f>'P&amp;L'!C5*0.42</f>
        <v/>
      </c>
    </row>
    <row r="11">
      <c r="A11" t="inlineStr">
        <is>
          <t>Fuel</t>
        </is>
      </c>
      <c r="C11" s="1">
        <f>Assumptions!C16*12000</f>
        <v/>
      </c>
    </row>
    <row r="12">
      <c r="A12" t="inlineStr">
        <is>
          <t>Total COGS</t>
        </is>
      </c>
      <c r="C12" s="1">
        <f>SUM(C9:C11)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A2" t="inlineStr">
        <is>
          <t>USD</t>
        </is>
      </c>
      <c r="C2" t="inlineStr">
        <is>
          <t>FY2026</t>
        </is>
      </c>
    </row>
    <row r="5">
      <c r="A5" t="inlineStr">
        <is>
          <t>Revenue</t>
        </is>
      </c>
      <c r="C5" s="1">
        <f>(Assumptions!C4+Assumptions!C5*Assumptions!C14)*(1+Assumptions!C21)</f>
        <v/>
      </c>
    </row>
    <row r="6">
      <c r="A6" t="inlineStr">
        <is>
          <t>COGS</t>
        </is>
      </c>
      <c r="C6" s="1">
        <f>COGS!C12</f>
        <v/>
      </c>
    </row>
    <row r="7">
      <c r="A7" t="inlineStr">
        <is>
          <t>Gross profit</t>
        </is>
      </c>
      <c r="C7" s="1">
        <f>C5-C6</f>
        <v/>
      </c>
    </row>
    <row r="9">
      <c r="A9" t="inlineStr">
        <is>
          <t>Operating expenses</t>
        </is>
      </c>
      <c r="C9" s="1">
        <f>C5*0.18</f>
        <v/>
      </c>
    </row>
    <row r="12">
      <c r="A12" t="inlineStr">
        <is>
          <t>EBITDA</t>
        </is>
      </c>
      <c r="C12" s="1">
        <f>C7-C9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G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3">
      <c r="A3" t="inlineStr">
        <is>
          <t>Year</t>
        </is>
      </c>
      <c r="C3" t="n">
        <v>1</v>
      </c>
      <c r="D3" t="n">
        <v>2</v>
      </c>
      <c r="E3" t="n">
        <v>3</v>
      </c>
      <c r="F3" t="n">
        <v>4</v>
      </c>
      <c r="G3" t="n">
        <v>5</v>
      </c>
    </row>
    <row r="5">
      <c r="A5" t="inlineStr">
        <is>
          <t>Unlevered FCF</t>
        </is>
      </c>
      <c r="C5" s="1">
        <f>'P&amp;L'!$C$12*(1+Assumptions!$C$21)^C3*(1-Assumptions!$C$22)</f>
        <v/>
      </c>
      <c r="D5" s="1">
        <f>'P&amp;L'!$C$12*(1+Assumptions!$C$21)^D3*(1-Assumptions!$C$22)</f>
        <v/>
      </c>
      <c r="E5" s="1">
        <f>'P&amp;L'!$C$12*(1+Assumptions!$C$21)^E3*(1-Assumptions!$C$22)</f>
        <v/>
      </c>
      <c r="F5" s="1">
        <f>'P&amp;L'!$C$12*(1+Assumptions!$C$21)^F3*(1-Assumptions!$C$22)</f>
        <v/>
      </c>
      <c r="G5" s="1">
        <f>'P&amp;L'!$C$12*(1+Assumptions!$C$21)^G3*(1-Assumptions!$C$22)</f>
        <v/>
      </c>
    </row>
    <row r="7">
      <c r="A7" t="inlineStr">
        <is>
          <t>Discount rate</t>
        </is>
      </c>
      <c r="C7" s="4">
        <f>Debt!B8+0.055</f>
        <v/>
      </c>
    </row>
    <row r="12">
      <c r="A12" t="inlineStr">
        <is>
          <t>NPV</t>
        </is>
      </c>
      <c r="C12" s="1">
        <f>NPV(C7,C5:G5)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2026-10-10T20:54:50Z</dcterms:created>
  <dcterms:modified xsi:type="dcterms:W3CDTF">2026-10-10T20:54:50Z</dcterms:modified>
</cp:coreProperties>
</file>