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P&amp;L" sheetId="2" r:id="rId6"/>
    <sheet state="visible" name="DCF Summary" sheetId="3" r:id="rId7"/>
  </sheets>
  <definedNames>
    <definedName name="DiscountRate">Assumptions!$B$15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Spot rate, Jan</t>
      </text>
    </comment>
  </commentList>
</comments>
</file>

<file path=xl/sharedStrings.xml><?xml version="1.0" encoding="utf-8"?>
<sst xmlns="http://schemas.openxmlformats.org/spreadsheetml/2006/main" count="32" uniqueCount="32">
  <si>
    <t>Driver</t>
  </si>
  <si>
    <t>NPV</t>
  </si>
  <si>
    <t>Value</t>
  </si>
  <si>
    <t>EUR/USD rate</t>
  </si>
  <si>
    <t>SOFR</t>
  </si>
  <si>
    <t>Units</t>
  </si>
  <si>
    <t>Revolver spread</t>
  </si>
  <si>
    <t>Steel price $/ton</t>
  </si>
  <si>
    <t>Container freight $/FEU</t>
  </si>
  <si>
    <t>Import tariff rate</t>
  </si>
  <si>
    <t>Competitor list price $</t>
  </si>
  <si>
    <t>Units sold, base year</t>
  </si>
  <si>
    <t>Steel tons per unit</t>
  </si>
  <si>
    <t>Units per FEU</t>
  </si>
  <si>
    <t>EUR cost per unit</t>
  </si>
  <si>
    <t>Revolver balance $</t>
  </si>
  <si>
    <t>Opex $</t>
  </si>
  <si>
    <t>Discount rate</t>
  </si>
  <si>
    <t>Total EBITDA</t>
  </si>
  <si>
    <t>Gross margin % 2030</t>
  </si>
  <si>
    <t>Price</t>
  </si>
  <si>
    <t>Revenue</t>
  </si>
  <si>
    <t>Goods cost</t>
  </si>
  <si>
    <t>Steel</t>
  </si>
  <si>
    <t>Freight</t>
  </si>
  <si>
    <t>Tariff</t>
  </si>
  <si>
    <t>COGS</t>
  </si>
  <si>
    <t>Gross margin</t>
  </si>
  <si>
    <t>Opex</t>
  </si>
  <si>
    <t>EBITDA</t>
  </si>
  <si>
    <t>Interest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</si>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</sst>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&quot;$&quot;#,##0.00"/>
    <numFmt numFmtId="166" formatCode="0.0%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C1F"/>
      <name val="Roboto"/>
    </font>
    <font>
      <sz val="10.0"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A5F8F"/>
        <bgColor rgb="FF3A5F8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3" fontId="3" numFmtId="164" xfId="0" applyAlignment="1" applyBorder="1" applyFill="1" applyFont="1" applyNumberFormat="1">
      <alignment readingOrder="0"/>
    </xf>
    <xf borderId="1" fillId="3" fontId="3" numFmtId="10" xfId="0" applyAlignment="1" applyBorder="1" applyFill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1" fillId="0" fontId="2" numFmtId="0" xfId="0" applyBorder="1" applyFont="1"/>
    <xf borderId="1" fillId="0" fontId="2" numFmtId="165" xfId="0" applyBorder="1" applyFont="1" applyNumberFormat="1"/>
    <xf borderId="1" fillId="0" fontId="2" numFmtId="166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Assumptions-style">
      <tableStyleElement dxfId="1" type="firstRowStripe"/>
      <tableStyleElement dxfId="2" type="secondRowStripe"/>
    </tableStyle>
    <tableStyle count="2" pivot="0" name="DCF Summary-style">
      <tableStyleElement dxfId="1" type="firstRowStripe"/>
      <tableStyleElement dxfId="2" type="secondRowStripe"/>
    </tableStyle>
    <tableStyle count="2" pivot="0" name="P&amp;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15" displayName="Table_1" name="Table_1" id="1">
  <tableColumns count="2">
    <tableColumn name="Column1" id="1"/>
    <tableColumn name="Column2" id="2"/>
  </tableColumns>
  <tableStyleInfo name="Assumption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4" displayName="Table_3" name="Table_3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&amp;L-style" showColumnStripes="0" showFirstColumn="1" showLastColumn="1" showRowStripes="1"/>
</table>
</file>

<file path=xl/tables/table3.xml><?xml version="1.0" encoding="utf-8"?>
<table xmlns="http://schemas.openxmlformats.org/spreadsheetml/2006/main" headerRowCount="0" ref="A2:B4" displayName="Table_2" name="Table_2" id="3">
  <tableColumns count="2">
    <tableColumn name="Column1" id="1"/>
    <tableColumn name="Column2" id="2"/>
  </tableColumns>
  <tableStyleInfo name="DCF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3</v>
      </c>
      <c r="B2" s="5">
        <v>1.08</v>
      </c>
    </row>
    <row r="3">
      <c r="A3" s="2" t="s">
        <v>4</v>
      </c>
      <c r="B3" s="6">
        <v>0.043</v>
      </c>
    </row>
    <row r="4">
      <c r="A4" s="2" t="s">
        <v>6</v>
      </c>
      <c r="B4" s="6">
        <v>0.0225</v>
      </c>
    </row>
    <row r="5">
      <c r="A5" s="2" t="s">
        <v>7</v>
      </c>
      <c r="B5" s="7">
        <v>850.0</v>
      </c>
    </row>
    <row r="6">
      <c r="A6" s="2" t="s">
        <v>8</v>
      </c>
      <c r="B6" s="7">
        <v>2400.0</v>
      </c>
    </row>
    <row r="7">
      <c r="A7" s="2" t="s">
        <v>9</v>
      </c>
      <c r="B7" s="6">
        <v>0.1</v>
      </c>
    </row>
    <row r="8">
      <c r="A8" s="2" t="s">
        <v>10</v>
      </c>
      <c r="B8" s="7">
        <v>129.0</v>
      </c>
    </row>
    <row r="9">
      <c r="A9" s="2" t="s">
        <v>11</v>
      </c>
      <c r="B9" s="7">
        <v>100000.0</v>
      </c>
    </row>
    <row r="10">
      <c r="A10" s="2" t="s">
        <v>12</v>
      </c>
      <c r="B10" s="7">
        <v>0.02</v>
      </c>
    </row>
    <row r="11">
      <c r="A11" s="2" t="s">
        <v>13</v>
      </c>
      <c r="B11" s="7">
        <v>2000.0</v>
      </c>
    </row>
    <row r="12">
      <c r="A12" s="2" t="s">
        <v>14</v>
      </c>
      <c r="B12" s="7">
        <v>45.0</v>
      </c>
    </row>
    <row r="13">
      <c r="A13" s="2" t="s">
        <v>15</v>
      </c>
      <c r="B13" s="7">
        <v>5000000.0</v>
      </c>
    </row>
    <row r="14">
      <c r="A14" s="2" t="s">
        <v>16</v>
      </c>
      <c r="B14" s="7">
        <v>1500000.0</v>
      </c>
    </row>
    <row r="15">
      <c r="A15" s="2" t="s">
        <v>17</v>
      </c>
      <c r="B15" s="6">
        <v>0.1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2026.0</v>
      </c>
      <c r="C1" s="4">
        <v>2027.0</v>
      </c>
      <c r="D1" s="4">
        <v>2028.0</v>
      </c>
      <c r="E1" s="4">
        <v>2029.0</v>
      </c>
      <c r="F1" s="4">
        <v>2030.0</v>
      </c>
    </row>
    <row r="2">
      <c r="A2" s="2" t="s">
        <v>5</v>
      </c>
      <c r="B2" s="8">
        <f>Assumptions!$B$9</f>
        <v>100000</v>
      </c>
      <c r="C2" s="8">
        <f t="shared" ref="C2:F2" si="1">B2*1.08</f>
        <v>108000</v>
      </c>
      <c r="D2" s="8">
        <f t="shared" si="1"/>
        <v>116640</v>
      </c>
      <c r="E2" s="8">
        <f t="shared" si="1"/>
        <v>125971.2</v>
      </c>
      <c r="F2" s="8">
        <f t="shared" si="1"/>
        <v>136048.896</v>
      </c>
    </row>
    <row r="3">
      <c r="A3" s="2" t="s">
        <v>20</v>
      </c>
      <c r="B3" s="8">
        <f>Assumptions!$B$8*0.93</f>
        <v>119.97</v>
      </c>
      <c r="C3" s="8">
        <f>Assumptions!$B$8*0.93</f>
        <v>119.97</v>
      </c>
      <c r="D3" s="8">
        <f>Assumptions!$B$8*0.93</f>
        <v>119.97</v>
      </c>
      <c r="E3" s="8">
        <f>Assumptions!$B$8*0.93</f>
        <v>119.97</v>
      </c>
      <c r="F3" s="8">
        <f>Assumptions!$B$8*0.93</f>
        <v>119.97</v>
      </c>
    </row>
    <row r="4">
      <c r="A4" s="2" t="s">
        <v>21</v>
      </c>
      <c r="B4" s="8">
        <f t="shared" ref="B4:F4" si="2">B2*B3</f>
        <v>11997000</v>
      </c>
      <c r="C4" s="8">
        <f t="shared" si="2"/>
        <v>12956760</v>
      </c>
      <c r="D4" s="8">
        <f t="shared" si="2"/>
        <v>13993300.8</v>
      </c>
      <c r="E4" s="8">
        <f t="shared" si="2"/>
        <v>15112764.86</v>
      </c>
      <c r="F4" s="8">
        <f t="shared" si="2"/>
        <v>16321786.05</v>
      </c>
    </row>
    <row r="5">
      <c r="A5" s="2" t="s">
        <v>22</v>
      </c>
      <c r="B5" s="8">
        <f>B2*Assumptions!$B$12*Assumptions!$B$2</f>
        <v>4860000</v>
      </c>
      <c r="C5" s="8">
        <f>C2*Assumptions!$B$12*Assumptions!$B$2</f>
        <v>5248800</v>
      </c>
      <c r="D5" s="8">
        <f>D2*Assumptions!$B$12*Assumptions!$B$2</f>
        <v>5668704</v>
      </c>
      <c r="E5" s="8">
        <f>E2*Assumptions!$B$12*Assumptions!$B$2</f>
        <v>6122200.32</v>
      </c>
      <c r="F5" s="8">
        <f>F2*Assumptions!$B$12*Assumptions!$B$2</f>
        <v>6611976.346</v>
      </c>
    </row>
    <row r="6">
      <c r="A6" s="2" t="s">
        <v>23</v>
      </c>
      <c r="B6" s="8">
        <f>B2*Assumptions!$B$10*Assumptions!$B$5</f>
        <v>1700000</v>
      </c>
      <c r="C6" s="8">
        <f>C2*Assumptions!$B$10*Assumptions!$B$5</f>
        <v>1836000</v>
      </c>
      <c r="D6" s="8">
        <f>D2*Assumptions!$B$10*Assumptions!$B$5</f>
        <v>1982880</v>
      </c>
      <c r="E6" s="8">
        <f>E2*Assumptions!$B$10*Assumptions!$B$5</f>
        <v>2141510.4</v>
      </c>
      <c r="F6" s="8">
        <f>F2*Assumptions!$B$10*Assumptions!$B$5</f>
        <v>2312831.232</v>
      </c>
    </row>
    <row r="7">
      <c r="A7" s="2" t="s">
        <v>24</v>
      </c>
      <c r="B7" s="8">
        <f>B2/Assumptions!$B$11*Assumptions!$B$6</f>
        <v>120000</v>
      </c>
      <c r="C7" s="8">
        <f>C2/Assumptions!$B$11*Assumptions!$B$6</f>
        <v>129600</v>
      </c>
      <c r="D7" s="8">
        <f>D2/Assumptions!$B$11*Assumptions!$B$6</f>
        <v>139968</v>
      </c>
      <c r="E7" s="8">
        <f>E2/Assumptions!$B$11*Assumptions!$B$6</f>
        <v>151165.44</v>
      </c>
      <c r="F7" s="8">
        <f>F2/Assumptions!$B$11*Assumptions!$B$6</f>
        <v>163258.6752</v>
      </c>
    </row>
    <row r="8">
      <c r="A8" s="2" t="s">
        <v>25</v>
      </c>
      <c r="B8" s="8">
        <f>B5*Assumptions!$B$7</f>
        <v>486000</v>
      </c>
      <c r="C8" s="8">
        <f>C5*Assumptions!$B$7</f>
        <v>524880</v>
      </c>
      <c r="D8" s="8">
        <f>D5*Assumptions!$B$7</f>
        <v>566870.4</v>
      </c>
      <c r="E8" s="8">
        <f>E5*Assumptions!$B$7</f>
        <v>612220.032</v>
      </c>
      <c r="F8" s="8">
        <f>F5*Assumptions!$B$7</f>
        <v>661197.6346</v>
      </c>
    </row>
    <row r="9">
      <c r="A9" s="2" t="s">
        <v>26</v>
      </c>
      <c r="B9" s="8">
        <f t="shared" ref="B9:F9" si="3">SUM(B5:B8)</f>
        <v>7166000</v>
      </c>
      <c r="C9" s="8">
        <f t="shared" si="3"/>
        <v>7739280</v>
      </c>
      <c r="D9" s="8">
        <f t="shared" si="3"/>
        <v>8358422.4</v>
      </c>
      <c r="E9" s="8">
        <f t="shared" si="3"/>
        <v>9027096.192</v>
      </c>
      <c r="F9" s="8">
        <f t="shared" si="3"/>
        <v>9749263.887</v>
      </c>
    </row>
    <row r="10">
      <c r="A10" s="2" t="s">
        <v>27</v>
      </c>
      <c r="B10" s="8">
        <f t="shared" ref="B10:F10" si="4">B4-B9</f>
        <v>4831000</v>
      </c>
      <c r="C10" s="8">
        <f t="shared" si="4"/>
        <v>5217480</v>
      </c>
      <c r="D10" s="8">
        <f t="shared" si="4"/>
        <v>5634878.4</v>
      </c>
      <c r="E10" s="8">
        <f t="shared" si="4"/>
        <v>6085668.672</v>
      </c>
      <c r="F10" s="8">
        <f t="shared" si="4"/>
        <v>6572522.166</v>
      </c>
    </row>
    <row r="11">
      <c r="A11" s="2" t="s">
        <v>28</v>
      </c>
      <c r="B11" s="8">
        <f>Assumptions!$B$14</f>
        <v>1500000</v>
      </c>
      <c r="C11" s="8">
        <f>Assumptions!$B$14</f>
        <v>1500000</v>
      </c>
      <c r="D11" s="8">
        <f>Assumptions!$B$14</f>
        <v>1500000</v>
      </c>
      <c r="E11" s="8">
        <f>Assumptions!$B$14</f>
        <v>1500000</v>
      </c>
      <c r="F11" s="8">
        <f>Assumptions!$B$14</f>
        <v>1500000</v>
      </c>
    </row>
    <row r="12">
      <c r="A12" s="2" t="s">
        <v>29</v>
      </c>
      <c r="B12" s="8">
        <f t="shared" ref="B12:F12" si="5">B10-B11</f>
        <v>3331000</v>
      </c>
      <c r="C12" s="8">
        <f t="shared" si="5"/>
        <v>3717480</v>
      </c>
      <c r="D12" s="8">
        <f t="shared" si="5"/>
        <v>4134878.4</v>
      </c>
      <c r="E12" s="8">
        <f t="shared" si="5"/>
        <v>4585668.672</v>
      </c>
      <c r="F12" s="8">
        <f t="shared" si="5"/>
        <v>5072522.166</v>
      </c>
    </row>
    <row r="13">
      <c r="A13" s="2" t="s">
        <v>30</v>
      </c>
      <c r="B13" s="8">
        <f>Assumptions!$B$13*(Assumptions!$B$3+Assumptions!$B$4)</f>
        <v>327500</v>
      </c>
      <c r="C13" s="8">
        <f>Assumptions!$B$13*(Assumptions!$B$3+Assumptions!$B$4)</f>
        <v>327500</v>
      </c>
      <c r="D13" s="8">
        <f>Assumptions!$B$13*(Assumptions!$B$3+Assumptions!$B$4)</f>
        <v>327500</v>
      </c>
      <c r="E13" s="8">
        <f>Assumptions!$B$13*(Assumptions!$B$3+Assumptions!$B$4)</f>
        <v>327500</v>
      </c>
      <c r="F13" s="8">
        <f>Assumptions!$B$13*(Assumptions!$B$3+Assumptions!$B$4)</f>
        <v>327500</v>
      </c>
    </row>
    <row r="14">
      <c r="A14" s="2" t="s">
        <v>31</v>
      </c>
      <c r="B14" s="8">
        <f t="shared" ref="B14:F14" si="6">ROUND((B12-B13)*(1-0.21),0)</f>
        <v>2372765</v>
      </c>
      <c r="C14" s="8">
        <f t="shared" si="6"/>
        <v>2678084</v>
      </c>
      <c r="D14" s="8">
        <f t="shared" si="6"/>
        <v>3007829</v>
      </c>
      <c r="E14" s="8">
        <f t="shared" si="6"/>
        <v>3363953</v>
      </c>
      <c r="F14" s="8">
        <f t="shared" si="6"/>
        <v>3748568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</v>
      </c>
      <c r="B2" s="9">
        <f t="array" ref="B2">NPV(DiscountRate,'P&amp;L'!B12:F12)</f>
        <v>15488785.26</v>
      </c>
    </row>
    <row r="3">
      <c r="A3" s="2" t="s">
        <v>18</v>
      </c>
      <c r="B3" s="8">
        <f>SUM('P&amp;L'!B12:F12)</f>
        <v>20841549.24</v>
      </c>
    </row>
    <row r="4">
      <c r="A4" s="2" t="s">
        <v>19</v>
      </c>
      <c r="B4" s="10">
        <f>'P&amp;L'!F10/'P&amp;L'!F4</f>
        <v>0.4026840043</v>
      </c>
    </row>
  </sheetData>
  <drawing r:id="rId1"/>
  <tableParts count="1">
    <tablePart r:id="rId3"/>
  </tableParts>
</worksheet>
</file>